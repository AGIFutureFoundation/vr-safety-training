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ilot Planner" sheetId="2" state="visible" r:id="rId4"/>
    <sheet name="Programmes" sheetId="3" state="visible" r:id="rId5"/>
    <sheet name="Stations" sheetId="4" state="visible" r:id="rId6"/>
    <sheet name="Assets" sheetId="5" state="visible" r:id="rId7"/>
    <sheet name="Vehicles and Boats" sheetId="6" state="visible" r:id="rId8"/>
    <sheet name="Worlds" sheetId="7" state="visible" r:id="rId9"/>
    <sheet name="UI Surfaces" sheetId="8" state="visible" r:id="rId10"/>
    <sheet name="Unions" sheetId="9" state="visible" r:id="rId11"/>
    <sheet name="Platform Fac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Pick any id from the Programmes sheet's id column.</t>
        </r>
      </text>
    </comment>
  </commentList>
</comments>
</file>

<file path=xl/sharedStrings.xml><?xml version="1.0" encoding="utf-8"?>
<sst xmlns="http://schemas.openxmlformats.org/spreadsheetml/2006/main" count="6594" uniqueCount="3698">
  <si>
    <t xml:space="preserve">SmartCiti.X ~ Holodeck — investor data pack</t>
  </si>
  <si>
    <t xml:space="preserve">Every figure below is a formula over the data sheets, which the repository's own generator (tools/gen_investor.mjs) writes from the catalog, the eval report and the world data. No revenue, price, market or user figure appears anywhere.</t>
  </si>
  <si>
    <t xml:space="preserve">Measure</t>
  </si>
  <si>
    <t xml:space="preserve">Value</t>
  </si>
  <si>
    <t xml:space="preserve">Where it comes from</t>
  </si>
  <si>
    <t xml:space="preserve">Content</t>
  </si>
  <si>
    <t xml:space="preserve">Graded procedures</t>
  </si>
  <si>
    <t xml:space="preserve">Stations sheet, one row per procedure</t>
  </si>
  <si>
    <t xml:space="preserve">Training programmes</t>
  </si>
  <si>
    <t xml:space="preserve">Programmes sheet</t>
  </si>
  <si>
    <t xml:space="preserve">Stations counted across programmes</t>
  </si>
  <si>
    <t xml:space="preserve">a station can sit in more than one programme</t>
  </si>
  <si>
    <t xml:space="preserve">Mean content eval score</t>
  </si>
  <si>
    <t xml:space="preserve">tools/eval_content.mjs, 0–100</t>
  </si>
  <si>
    <t xml:space="preserve">Procedures scoring 95 or more</t>
  </si>
  <si>
    <t xml:space="preserve">Procedures scoring 90 to 94</t>
  </si>
  <si>
    <t xml:space="preserve">Procedures under 90</t>
  </si>
  <si>
    <t xml:space="preserve">flat sourced briefings and readings</t>
  </si>
  <si>
    <t xml:space="preserve">Share at 90 or more</t>
  </si>
  <si>
    <t xml:space="preserve">Total interaction steps</t>
  </si>
  <si>
    <t xml:space="preserve">Total hazards to find</t>
  </si>
  <si>
    <t xml:space="preserve">Unions in the registry</t>
  </si>
  <si>
    <t xml:space="preserve">Unions sheet</t>
  </si>
  <si>
    <t xml:space="preserve">Checkers passing on every change</t>
  </si>
  <si>
    <t xml:space="preserve">tools/check_all.mjs</t>
  </si>
  <si>
    <t xml:space="preserve">Worlds and assets</t>
  </si>
  <si>
    <t xml:space="preserve">Open worlds and scenic districts</t>
  </si>
  <si>
    <t xml:space="preserve">Worlds sheet</t>
  </si>
  <si>
    <t xml:space="preserve">Job sites across the worlds</t>
  </si>
  <si>
    <t xml:space="preserve">Quests across the worlds</t>
  </si>
  <si>
    <t xml:space="preserve">Easter eggs across the worlds</t>
  </si>
  <si>
    <t xml:space="preserve">Scored activities across the worlds</t>
  </si>
  <si>
    <t xml:space="preserve">3D builders (equipment, vehicles, boats, props, tools, wildlife)</t>
  </si>
  <si>
    <t xml:space="preserve">Assets sheet</t>
  </si>
  <si>
    <t xml:space="preserve">Vehicles</t>
  </si>
  <si>
    <t xml:space="preserve">Vehicles and Boats sheet</t>
  </si>
  <si>
    <t xml:space="preserve">Boats and underwater vehicles</t>
  </si>
  <si>
    <t xml:space="preserve">Builders exported to Unity</t>
  </si>
  <si>
    <t xml:space="preserve">exports/unity/SmartCitiX/Models/MANIFEST.json</t>
  </si>
  <si>
    <t xml:space="preserve">Interfaces</t>
  </si>
  <si>
    <t xml:space="preserve">App pages and interfaces</t>
  </si>
  <si>
    <t xml:space="preserve">UI Surfaces sheet</t>
  </si>
  <si>
    <t xml:space="preserve">Largest programmes by station count</t>
  </si>
  <si>
    <t xml:space="preserve">Programme</t>
  </si>
  <si>
    <t xml:space="preserve">Stations</t>
  </si>
  <si>
    <t xml:space="preserve">Eval mean</t>
  </si>
  <si>
    <t xml:space="preserve">Pilot planner — a template for a partner cohort</t>
  </si>
  <si>
    <t xml:space="preserve">Blue cells on a yellow ground are inputs: change them. Row 5 holds example values only, to show the format; replace them with the pilot's real plan. Black cells are formulas.</t>
  </si>
  <si>
    <t xml:space="preserve">Input</t>
  </si>
  <si>
    <t xml:space="preserve">Note</t>
  </si>
  <si>
    <t xml:space="preserve">Programme id (from the Programmes sheet)</t>
  </si>
  <si>
    <t xml:space="preserve">wojrc-pathway-edition</t>
  </si>
  <si>
    <t xml:space="preserve">Example value — replace</t>
  </si>
  <si>
    <t xml:space="preserve">Learners in the cohort</t>
  </si>
  <si>
    <t xml:space="preserve">Weeks in the pilot</t>
  </si>
  <si>
    <t xml:space="preserve">Practice sessions per learner per week</t>
  </si>
  <si>
    <t xml:space="preserve">Stations attempted per session</t>
  </si>
  <si>
    <t xml:space="preserve">Derived</t>
  </si>
  <si>
    <t xml:space="preserve">Programme name</t>
  </si>
  <si>
    <t xml:space="preserve">Stations in the programme</t>
  </si>
  <si>
    <t xml:space="preserve">Eval mean of its stations</t>
  </si>
  <si>
    <t xml:space="preserve">Station attempts across the cohort</t>
  </si>
  <si>
    <t xml:space="preserve">Attempts per learner</t>
  </si>
  <si>
    <t xml:space="preserve">Times each learner could run every station</t>
  </si>
  <si>
    <t xml:space="preserve">id</t>
  </si>
  <si>
    <t xml:space="preserve">name</t>
  </si>
  <si>
    <t xml:space="preserve">categoryMix</t>
  </si>
  <si>
    <t xml:space="preserve">stationCount</t>
  </si>
  <si>
    <t xml:space="preserve">unions</t>
  </si>
  <si>
    <t xml:space="preserve">trainingBodies</t>
  </si>
  <si>
    <t xml:space="preserve">competencyRequire</t>
  </si>
  <si>
    <t xml:space="preserve">ladderLevels</t>
  </si>
  <si>
    <t xml:space="preserve">ladderLevelsFull</t>
  </si>
  <si>
    <t xml:space="preserve">bayWorldSites</t>
  </si>
  <si>
    <t xml:space="preserve">deepSites</t>
  </si>
  <si>
    <t xml:space="preserve">evalMean</t>
  </si>
  <si>
    <t xml:space="preserve">rankKey</t>
  </si>
  <si>
    <t xml:space="preserve">electrical-first-period</t>
  </si>
  <si>
    <t xml:space="preserve">Inside Wireman — First Period</t>
  </si>
  <si>
    <t xml:space="preserve">Energy &amp; Power: 7; Trade Skills Simulator: 1</t>
  </si>
  <si>
    <t xml:space="preserve">ibew</t>
  </si>
  <si>
    <t xml:space="preserve">ibew-neca-jatc</t>
  </si>
  <si>
    <t xml:space="preserve">west-oakland-substation-yard</t>
  </si>
  <si>
    <t xml:space="preserve">confined-space</t>
  </si>
  <si>
    <t xml:space="preserve">Confined Space — Entry and Rescue</t>
  </si>
  <si>
    <t xml:space="preserve">Water &amp; Environmental: 7; Emergency Services: 1</t>
  </si>
  <si>
    <t xml:space="preserve">iaff; iuoe; liuna; ua</t>
  </si>
  <si>
    <t xml:space="preserve">iaff-training; iuoe-training; liuna-training-fund; ua-apprenticeship</t>
  </si>
  <si>
    <t xml:space="preserve">south-treatment-plant; west-oakland-utility-yard</t>
  </si>
  <si>
    <t xml:space="preserve">outfall-intake-lockout-site</t>
  </si>
  <si>
    <t xml:space="preserve">fall-protection</t>
  </si>
  <si>
    <t xml:space="preserve">Working at Height — Fall Protection</t>
  </si>
  <si>
    <t xml:space="preserve">Construction &amp; Structural Trades: 4; Connectivity &amp; Telecom: 2; Emergency Services: 1</t>
  </si>
  <si>
    <t xml:space="preserve">carpenters; cwa; ironworkers</t>
  </si>
  <si>
    <t xml:space="preserve">carpenters-ictf; cwa-training; ironworkers-impact</t>
  </si>
  <si>
    <t xml:space="preserve">downtown-tower-site</t>
  </si>
  <si>
    <t xml:space="preserve">hazmat-environmental</t>
  </si>
  <si>
    <t xml:space="preserve">Hazmat and Environmental Response</t>
  </si>
  <si>
    <t xml:space="preserve">Environmental Monitoring: 6; Emergency Services: 2; Surface Prep &amp; Coatings: 1; Water &amp; Environmental: 1</t>
  </si>
  <si>
    <t xml:space="preserve">iaff; liuna</t>
  </si>
  <si>
    <t xml:space="preserve">iaff-training; liuna-training-fund</t>
  </si>
  <si>
    <t xml:space="preserve">port-hazmat-response-yard</t>
  </si>
  <si>
    <t xml:space="preserve">outfall-diffuser-inspection</t>
  </si>
  <si>
    <t xml:space="preserve">rigging-lifting</t>
  </si>
  <si>
    <t xml:space="preserve">Rigging and Lifting</t>
  </si>
  <si>
    <t xml:space="preserve">Entertainment &amp; Live Events: 3; Construction &amp; Structural Trades: 2; Maritime &amp; Ports: 1</t>
  </si>
  <si>
    <t xml:space="preserve">iatse; ilwu; ironworkers; iuoe</t>
  </si>
  <si>
    <t xml:space="preserve">iatse-training-trust; ilwu-pma-training; ironworkers-impact; iuoe-training</t>
  </si>
  <si>
    <t xml:space="preserve">port-container-terminal</t>
  </si>
  <si>
    <t xml:space="preserve">shelf-lift-bag-site; wreck-salvage-rigging</t>
  </si>
  <si>
    <t xml:space="preserve">stationary-engineer</t>
  </si>
  <si>
    <t xml:space="preserve">Stationary Engineer — Building Plant</t>
  </si>
  <si>
    <t xml:space="preserve">Building Systems &amp; Facilities: 7</t>
  </si>
  <si>
    <t xml:space="preserve">iuoe</t>
  </si>
  <si>
    <t xml:space="preserve">iuoe-training; ua-apprenticeship</t>
  </si>
  <si>
    <t xml:space="preserve">downtown-central-plant; south-treatment-plant</t>
  </si>
  <si>
    <t xml:space="preserve">port-operations</t>
  </si>
  <si>
    <t xml:space="preserve">Port and Terminal Operations</t>
  </si>
  <si>
    <t xml:space="preserve">Maritime &amp; Ports: 7</t>
  </si>
  <si>
    <t xml:space="preserve">ilwu; meba; siu; teamsters</t>
  </si>
  <si>
    <t xml:space="preserve">ilwu-pma-training; meba-calhoon-school; siu-paul-hall-center; teamsters-training</t>
  </si>
  <si>
    <t xml:space="preserve">channel-buoy-tender-pier; island-yacht-harbor; port-container-terminal; south-shoreline-marina</t>
  </si>
  <si>
    <t xml:space="preserve">approach-buoy-tender-station; reef-ball-placement-site</t>
  </si>
  <si>
    <t xml:space="preserve">transit-ramp</t>
  </si>
  <si>
    <t xml:space="preserve">Transit and Ramp Operations</t>
  </si>
  <si>
    <t xml:space="preserve">Mobility &amp; Transit: 6; Manufacturing &amp; Automation: 1</t>
  </si>
  <si>
    <t xml:space="preserve">atu; iam; ibew; twu</t>
  </si>
  <si>
    <t xml:space="preserve">atu-training; bmwed-training; iam-winpisinger-center; ibew-neca-jatc; twu-training</t>
  </si>
  <si>
    <t xml:space="preserve">coliseum-elevated-transit-station; island-ferry-landing</t>
  </si>
  <si>
    <t xml:space="preserve">energy-transition</t>
  </si>
  <si>
    <t xml:space="preserve">Energy Transition Systems</t>
  </si>
  <si>
    <t xml:space="preserve">Energy &amp; Power: 8; Connectivity &amp; Telecom: 1</t>
  </si>
  <si>
    <t xml:space="preserve">hills-transmission-corridor; ridge-reservoir-yard</t>
  </si>
  <si>
    <t xml:space="preserve">live-events</t>
  </si>
  <si>
    <t xml:space="preserve">Live Events Production</t>
  </si>
  <si>
    <t xml:space="preserve">Entertainment &amp; Live Events: 7</t>
  </si>
  <si>
    <t xml:space="preserve">iatse</t>
  </si>
  <si>
    <t xml:space="preserve">iatse-training-trust</t>
  </si>
  <si>
    <t xml:space="preserve">coliseum-stadium</t>
  </si>
  <si>
    <t xml:space="preserve">hunters-point-bay-restoration</t>
  </si>
  <si>
    <t xml:space="preserve">Hunters Point Clean-up and Bay Restoration</t>
  </si>
  <si>
    <t xml:space="preserve">Environmental Monitoring: 11; Water &amp; Environmental: 9; Maritime &amp; Ports: 3; Building Systems &amp; Facilities: 1; Emergency Services: 1; Energy &amp; Power: 1</t>
  </si>
  <si>
    <t xml:space="preserve">carpenters; ibu; iuoe; iuoe-local3; liuna; teamsters; ua</t>
  </si>
  <si>
    <t xml:space="preserve">carpenters-ictf; ilwu-pma-training; iuoe-local3-training; iuoe-training; liuna-training-fund; teamsters-training; ua-apprenticeship</t>
  </si>
  <si>
    <t xml:space="preserve">estuary-shoreline-park-trailhead; north-shoreline-field-lab</t>
  </si>
  <si>
    <t xml:space="preserve">channel-dredge-survey; eelgrass-transplant-plots; marsh-mouth-invasive-plot; marsh-mouth-tide-gate; mud-plain-hotspot-survey; pier-creosote-pile-site; reef-ball-monitoring-plot</t>
  </si>
  <si>
    <t xml:space="preserve">culinary-kitchen</t>
  </si>
  <si>
    <t xml:space="preserve">Culinary — The Working Kitchen</t>
  </si>
  <si>
    <t xml:space="preserve">Culinary &amp; Hospitality: 15; Trade Skills Simulator: 1</t>
  </si>
  <si>
    <t xml:space="preserve">afscme; seiu; unite-here</t>
  </si>
  <si>
    <t xml:space="preserve">afscme-training; seiu-training; unite-here-training</t>
  </si>
  <si>
    <t xml:space="preserve">uptown-restaurant-row</t>
  </si>
  <si>
    <t xml:space="preserve">dental-hygiene-unspoken-smiles</t>
  </si>
  <si>
    <t xml:space="preserve">Dental Hygiene — Unspoken Smiles</t>
  </si>
  <si>
    <t xml:space="preserve">Dental &amp; Oral Health: 18; Trade Skills Simulator: 1</t>
  </si>
  <si>
    <t xml:space="preserve">afscme; seiu; ufcw</t>
  </si>
  <si>
    <t xml:space="preserve">afscme-training; seiu-training; ufcw-training</t>
  </si>
  <si>
    <t xml:space="preserve">fruitvale-community-college</t>
  </si>
  <si>
    <t xml:space="preserve">dental-careers-unspoken-smiles</t>
  </si>
  <si>
    <t xml:space="preserve">Dental Careers — Unspoken Smiles</t>
  </si>
  <si>
    <t xml:space="preserve">Dental &amp; Oral Health: 19</t>
  </si>
  <si>
    <t xml:space="preserve">civic-leadership-and-ei</t>
  </si>
  <si>
    <t xml:space="preserve">Civic Leadership and Emotional Intelligence</t>
  </si>
  <si>
    <t xml:space="preserve">Community Environmental Justice: 17</t>
  </si>
  <si>
    <t xml:space="preserve">afscme; seiu</t>
  </si>
  <si>
    <t xml:space="preserve">afscme-training; seiu-training</t>
  </si>
  <si>
    <t xml:space="preserve">downtown-civic-center</t>
  </si>
  <si>
    <t xml:space="preserve">property-management</t>
  </si>
  <si>
    <t xml:space="preserve">Property Management — Twenty Zones</t>
  </si>
  <si>
    <t xml:space="preserve">Building Systems &amp; Facilities: 21</t>
  </si>
  <si>
    <t xml:space="preserve">iuoe; seiu; seiu-uswtw; unite-here</t>
  </si>
  <si>
    <t xml:space="preserve">iuoe-training; seiu-training; seiu-uswtw-training; unite-here-training</t>
  </si>
  <si>
    <t xml:space="preserve">downtown-housing-block</t>
  </si>
  <si>
    <t xml:space="preserve">outbreak-response-who</t>
  </si>
  <si>
    <t xml:space="preserve">Outbreak and Disease Response — WHO and UN Practice</t>
  </si>
  <si>
    <t xml:space="preserve">Emergency Services: 11</t>
  </si>
  <si>
    <t xml:space="preserve">afscme; cna; nnu; seiu</t>
  </si>
  <si>
    <t xml:space="preserve">coliseum-area-hospital; emery-lab-campus</t>
  </si>
  <si>
    <t xml:space="preserve">job-readiness-edition</t>
  </si>
  <si>
    <t xml:space="preserve">Job Readiness Edition — wojrc.org programmes</t>
  </si>
  <si>
    <t xml:space="preserve">Mobility &amp; Transit: 16; Community Environmental Justice: 15; Manufacturing &amp; Automation: 1</t>
  </si>
  <si>
    <t xml:space="preserve">afscme; ilwu; seiu; teamsters</t>
  </si>
  <si>
    <t xml:space="preserve">afscme-training; ilwu-pma-training; seiu-training; teamsters-training</t>
  </si>
  <si>
    <t xml:space="preserve">emery-distribution-center; west-oakland-truck-yard</t>
  </si>
  <si>
    <t xml:space="preserve">bay-area-union-edition</t>
  </si>
  <si>
    <t xml:space="preserve">Bay Area Union Edition — Sheet Metal, Bridge, Port and Marine</t>
  </si>
  <si>
    <t xml:space="preserve">Maritime &amp; Ports: 24; Construction &amp; Structural Trades: 9; Manufacturing &amp; Automation: 9</t>
  </si>
  <si>
    <t xml:space="preserve">carpenters; ibu; ilwu; ironworkers; iuoe; iupat; meba; siu; smart</t>
  </si>
  <si>
    <t xml:space="preserve">carpenters-ictf; ilwu-pma-training; ironworkers-impact; iuoe-training; iupat-fti; meba-calhoon-school; siu-paul-hall-center; smart-iti</t>
  </si>
  <si>
    <t xml:space="preserve">island-boatyard; island-ferry-landing; island-yacht-harbor; west-oakland-union-hall</t>
  </si>
  <si>
    <t xml:space="preserve">approach-boom-tow-site; channel-scour-survey; flats-workboat-anchorage; kelp-night-line-site; outfall-intake-lockout-site; pier-piling-inspection-station; shelf-lift-bag-site; trench-rov-station; wreck-photo-survey</t>
  </si>
  <si>
    <t xml:space="preserve">bartending-course</t>
  </si>
  <si>
    <t xml:space="preserve">Bartending — Behind the Bar</t>
  </si>
  <si>
    <t xml:space="preserve">unite-here</t>
  </si>
  <si>
    <t xml:space="preserve">unite-here-training</t>
  </si>
  <si>
    <t xml:space="preserve">uptown-theatre-district</t>
  </si>
  <si>
    <t xml:space="preserve">hunters-point-can-we-live</t>
  </si>
  <si>
    <t xml:space="preserve">Hunters Point Edition — Can We Live?</t>
  </si>
  <si>
    <t xml:space="preserve">Community Environmental Justice: 26</t>
  </si>
  <si>
    <t xml:space="preserve">iuoe; liuna; teamsters</t>
  </si>
  <si>
    <t xml:space="preserve">iuoe-training; liuna-training-fund; seiu-training; teamsters-training</t>
  </si>
  <si>
    <t xml:space="preserve">estuary-shoreline-park-trailhead</t>
  </si>
  <si>
    <t xml:space="preserve">flats-sediment-core-site; outfall-discharge-photo-point</t>
  </si>
  <si>
    <t xml:space="preserve">sewing-garment-trades</t>
  </si>
  <si>
    <t xml:space="preserve">Sewing and Garment Trades</t>
  </si>
  <si>
    <t xml:space="preserve">Sewing &amp; Garment Trades: 10; Trade Skills Simulator: 1</t>
  </si>
  <si>
    <t xml:space="preserve">seiu; unite-here; workers-united</t>
  </si>
  <si>
    <t xml:space="preserve">seiu-training; unite-here-training</t>
  </si>
  <si>
    <t xml:space="preserve">west-oakland-warehouse-district</t>
  </si>
  <si>
    <t xml:space="preserve">bridge-and-structural</t>
  </si>
  <si>
    <t xml:space="preserve">Bridge and Structural Trades</t>
  </si>
  <si>
    <t xml:space="preserve">Construction &amp; Structural Trades: 7</t>
  </si>
  <si>
    <t xml:space="preserve">ironworkers; iuoe; iupat; liuna</t>
  </si>
  <si>
    <t xml:space="preserve">ironworkers-impact; iuoe-training; iupat-fti; liuna-training-fund</t>
  </si>
  <si>
    <t xml:space="preserve">bridge-approach-toll-plaza</t>
  </si>
  <si>
    <t xml:space="preserve">channel-scour-survey</t>
  </si>
  <si>
    <t xml:space="preserve">hotel-workers</t>
  </si>
  <si>
    <t xml:space="preserve">Hotel Workers — Back of House</t>
  </si>
  <si>
    <t xml:space="preserve">Culinary &amp; Hospitality: 7</t>
  </si>
  <si>
    <t xml:space="preserve">uptown-hotel-row</t>
  </si>
  <si>
    <t xml:space="preserve">builders-trades</t>
  </si>
  <si>
    <t xml:space="preserve">Builders — Carpenters, Laborers and Masons</t>
  </si>
  <si>
    <t xml:space="preserve">Construction &amp; Structural Trades: 8</t>
  </si>
  <si>
    <t xml:space="preserve">bac; carpenters; iuoe; liuna</t>
  </si>
  <si>
    <t xml:space="preserve">bac-imi; carpenters-ictf; iuoe-training; liuna-training-fund</t>
  </si>
  <si>
    <t xml:space="preserve">uptown-construction-site</t>
  </si>
  <si>
    <t xml:space="preserve">first-responders</t>
  </si>
  <si>
    <t xml:space="preserve">First Responders — Fire, EMS, Police, Crisis and Relief</t>
  </si>
  <si>
    <t xml:space="preserve">Emergency Services: 17</t>
  </si>
  <si>
    <t xml:space="preserve">afscme; fop; iaff; liuna; nage; nasw; seiu; seiu-1021</t>
  </si>
  <si>
    <t xml:space="preserve">afscme-training; iaff-training; liuna-training-fund; naemt-courses; nasw-code-of-ethics; seiu-1021-training; seiu-training</t>
  </si>
  <si>
    <t xml:space="preserve">fruitvale-fire-station; ridge-fire-lookout</t>
  </si>
  <si>
    <t xml:space="preserve">seamount-capstone-survey</t>
  </si>
  <si>
    <t xml:space="preserve">situational-awareness</t>
  </si>
  <si>
    <t xml:space="preserve">Situational Awareness — Interruption Drill</t>
  </si>
  <si>
    <t xml:space="preserve">Building Systems &amp; Facilities: 3; Construction &amp; Structural Trades: 3; Energy &amp; Power: 3; Trade Skills Simulator: 3; Connectivity &amp; Telecom: 2; Emergency Services: 2; Manufacturing &amp; Automation: 2; Water &amp; Environmental: 2; Maritime &amp; Ports: 1; Mobility &amp; Transit: 1</t>
  </si>
  <si>
    <t xml:space="preserve">iaff; ibew; ironworkers; liuna; ua</t>
  </si>
  <si>
    <t xml:space="preserve">iaff-training; ibew-neca-jatc; ironworkers-impact; liuna-training-fund; ua-apprenticeship</t>
  </si>
  <si>
    <t xml:space="preserve">lake-loop-boathouse</t>
  </si>
  <si>
    <t xml:space="preserve">shelf-checkout-site</t>
  </si>
  <si>
    <t xml:space="preserve">ports-maritime-ecology</t>
  </si>
  <si>
    <t xml:space="preserve">Ports, Maritime and Bay Ecology</t>
  </si>
  <si>
    <t xml:space="preserve">Maritime &amp; Ports: 11</t>
  </si>
  <si>
    <t xml:space="preserve">ibew; ibu; ilwu; liuna</t>
  </si>
  <si>
    <t xml:space="preserve">afscme-training; ibew-neca-jatc; ilwu-pma-training; liuna-training-fund</t>
  </si>
  <si>
    <t xml:space="preserve">channel-buoy-tender-pier; estuary-research-dock; north-marina-pier</t>
  </si>
  <si>
    <t xml:space="preserve">approach-buoy-tender-station; reef-ball-monitoring-plot</t>
  </si>
  <si>
    <t xml:space="preserve">air-quality-monitoring</t>
  </si>
  <si>
    <t xml:space="preserve">Air Quality — Monitoring and Control</t>
  </si>
  <si>
    <t xml:space="preserve">Environmental Monitoring: 6</t>
  </si>
  <si>
    <t xml:space="preserve">afscme; iuoe; liuna; usw</t>
  </si>
  <si>
    <t xml:space="preserve">afscme-training; iuoe-training; liuna-training-fund; usw-mazzocchi-center</t>
  </si>
  <si>
    <t xml:space="preserve">north-shoreline-field-lab; west-oakland-air-monitoring-post</t>
  </si>
  <si>
    <t xml:space="preserve">flats-sonde-station</t>
  </si>
  <si>
    <t xml:space="preserve">basketball-fundamentals</t>
  </si>
  <si>
    <t xml:space="preserve">Basketball Fundamentals</t>
  </si>
  <si>
    <t xml:space="preserve">Youth Sports &amp; Coaching: 18</t>
  </si>
  <si>
    <t xml:space="preserve">coliseum-arena</t>
  </si>
  <si>
    <t xml:space="preserve">bay-restoration-maritime-underwater</t>
  </si>
  <si>
    <t xml:space="preserve">SF Bay Restoration &amp; Cleanup — Maritime and Underwater</t>
  </si>
  <si>
    <t xml:space="preserve">Maritime &amp; Ports: 16; Environmental Monitoring: 10; Water &amp; Environmental: 9</t>
  </si>
  <si>
    <t xml:space="preserve">afscme; carpenters; ibu; ilwu; iuoe; iuoe-local3; liuna; meba; seiu; siu</t>
  </si>
  <si>
    <t xml:space="preserve">afscme-training; carpenters-ictf; ilwu-pma-training; iuoe-local3-training; iuoe-training; liuna-training-fund; meba-calhoon-school; seiu-training; siu-paul-hall-center</t>
  </si>
  <si>
    <t xml:space="preserve">estuary-marina-boatyard; island-boatyard; north-marina-pier; north-shoreline-field-lab; south-shoreline-marina</t>
  </si>
  <si>
    <t xml:space="preserve">approach-boom-tow-site; channel-dredge-survey; eelgrass-fish-census-line; eelgrass-turbidity-curtain; flats-sediment-core-site; flats-sonde-station; flats-workboat-anchorage; kelp-transect-start; marsh-mouth-culvert; marsh-mouth-invasive-plot; mud-plain-hotspot-survey; mud-plain-trash-capture; pier-surface-supplied-station; reef-ball-placement-site; seamount-capstone-survey; shelf-checkout-site; shelf-debris-sweep; wreck-photo-survey; wreck-salvage-rigging</t>
  </si>
  <si>
    <t xml:space="preserve">railroad-crafts</t>
  </si>
  <si>
    <t xml:space="preserve">Railroad Crafts — Track, Car and Cab</t>
  </si>
  <si>
    <t xml:space="preserve">Mobility &amp; Transit: 8</t>
  </si>
  <si>
    <t xml:space="preserve">blet; bmwed; smart; smart-td</t>
  </si>
  <si>
    <t xml:space="preserve">blet-training; bmwed-training; smart-iti; smarttd-training</t>
  </si>
  <si>
    <t xml:space="preserve">port-rail-yard</t>
  </si>
  <si>
    <t xml:space="preserve">heavy-equipment-operators</t>
  </si>
  <si>
    <t xml:space="preserve">Heavy Equipment Operators — IUOE Local 3</t>
  </si>
  <si>
    <t xml:space="preserve">iuoe-training</t>
  </si>
  <si>
    <t xml:space="preserve">hills-grading-site; ridge-reservoir-yard</t>
  </si>
  <si>
    <t xml:space="preserve">pier-creosote-pile-site</t>
  </si>
  <si>
    <t xml:space="preserve">plumbers-and-pipefitters</t>
  </si>
  <si>
    <t xml:space="preserve">Plumbers and Pipefitters — Journeyman Rough-In and Test Block</t>
  </si>
  <si>
    <t xml:space="preserve">Building Systems &amp; Facilities: 7; Water &amp; Environmental: 1</t>
  </si>
  <si>
    <t xml:space="preserve">ua</t>
  </si>
  <si>
    <t xml:space="preserve">ua-apprenticeship</t>
  </si>
  <si>
    <t xml:space="preserve">port-maintenance-shop</t>
  </si>
  <si>
    <t xml:space="preserve">glaziers-and-architectural-metal</t>
  </si>
  <si>
    <t xml:space="preserve">Glaziers and Architectural Metal</t>
  </si>
  <si>
    <t xml:space="preserve">iupat; iupat-dc16</t>
  </si>
  <si>
    <t xml:space="preserve">iupat-dc16-glaziers; iupat-fti</t>
  </si>
  <si>
    <t xml:space="preserve">elevator-constructors</t>
  </si>
  <si>
    <t xml:space="preserve">Elevator Constructor — IUEC Core Skills</t>
  </si>
  <si>
    <t xml:space="preserve">Building Systems &amp; Facilities: 8</t>
  </si>
  <si>
    <t xml:space="preserve">iuec</t>
  </si>
  <si>
    <t xml:space="preserve">neiep-training</t>
  </si>
  <si>
    <t xml:space="preserve">insulators-and-boilermakers</t>
  </si>
  <si>
    <t xml:space="preserve">Insulators and Boilermakers — Building Systems</t>
  </si>
  <si>
    <t xml:space="preserve">ibb; insulators</t>
  </si>
  <si>
    <t xml:space="preserve">boilermakers-local-549; insulators-local-16</t>
  </si>
  <si>
    <t xml:space="preserve">cement-masons-and-plasterers</t>
  </si>
  <si>
    <t xml:space="preserve">Cement Masons and Plasterers</t>
  </si>
  <si>
    <t xml:space="preserve">opcmia</t>
  </si>
  <si>
    <t xml:space="preserve">opcmia-local-300</t>
  </si>
  <si>
    <t xml:space="preserve">healthcare-support</t>
  </si>
  <si>
    <t xml:space="preserve">Healthcare Support</t>
  </si>
  <si>
    <t xml:space="preserve">Healthcare Support: 8</t>
  </si>
  <si>
    <t xml:space="preserve">nuhw; seiu; seiu-uhw</t>
  </si>
  <si>
    <t xml:space="preserve">nuhw-training; seiu-training; seiu-uhw-training</t>
  </si>
  <si>
    <t xml:space="preserve">roofers-and-waterproofers</t>
  </si>
  <si>
    <t xml:space="preserve">Roofers and Waterproofers</t>
  </si>
  <si>
    <t xml:space="preserve">urw</t>
  </si>
  <si>
    <t xml:space="preserve">roofers-local-40-training</t>
  </si>
  <si>
    <t xml:space="preserve">water-and-gas-utility-crews</t>
  </si>
  <si>
    <t xml:space="preserve">Water and Gas Utility Crews — Distribution Authority</t>
  </si>
  <si>
    <t xml:space="preserve">Energy &amp; Power: 4; Water &amp; Environmental: 4</t>
  </si>
  <si>
    <t xml:space="preserve">ibew; uwua</t>
  </si>
  <si>
    <t xml:space="preserve">ibew-neca-jatc; uwua-training</t>
  </si>
  <si>
    <t xml:space="preserve">ridge-reservoir-yard; south-treatment-plant; west-oakland-utility-yard</t>
  </si>
  <si>
    <t xml:space="preserve">aviation-maintenance-and-ground</t>
  </si>
  <si>
    <t xml:space="preserve">Aviation Maintenance and Ground — IAM/TWU Ramp and Line</t>
  </si>
  <si>
    <t xml:space="preserve">iam; twu</t>
  </si>
  <si>
    <t xml:space="preserve">iam-winpisinger-center; twu-training</t>
  </si>
  <si>
    <t xml:space="preserve">coliseum-airfield-apron; island-airfield-park</t>
  </si>
  <si>
    <t xml:space="preserve">warehouse-and-logistics-automation</t>
  </si>
  <si>
    <t xml:space="preserve">Warehouse and Logistics Automation — Teamsters Distribution Floor</t>
  </si>
  <si>
    <t xml:space="preserve">Manufacturing &amp; Automation: 8</t>
  </si>
  <si>
    <t xml:space="preserve">teamsters</t>
  </si>
  <si>
    <t xml:space="preserve">teamsters-training</t>
  </si>
  <si>
    <t xml:space="preserve">emery-distribution-center; west-oakland-warehouse-district</t>
  </si>
  <si>
    <t xml:space="preserve">education-support-staff</t>
  </si>
  <si>
    <t xml:space="preserve">Education Support Staff — Custodial, Grounds, Transport and Classroom</t>
  </si>
  <si>
    <t xml:space="preserve">Building Systems &amp; Facilities: 5; Mobility &amp; Transit: 2; Culinary &amp; Hospitality: 1</t>
  </si>
  <si>
    <t xml:space="preserve">aft; csea</t>
  </si>
  <si>
    <t xml:space="preserve">aft-training; csea-training</t>
  </si>
  <si>
    <t xml:space="preserve">fruitvale-elementary-school</t>
  </si>
  <si>
    <t xml:space="preserve">grounds-and-landscaping</t>
  </si>
  <si>
    <t xml:space="preserve">Grounds &amp; Landscaping Crew</t>
  </si>
  <si>
    <t xml:space="preserve">Grounds &amp; Landscaping: 12</t>
  </si>
  <si>
    <t xml:space="preserve">afscme; liuna; seiu</t>
  </si>
  <si>
    <t xml:space="preserve">afscme-training; liuna-training-fund; seiu-training</t>
  </si>
  <si>
    <t xml:space="preserve">hills-redwood-park-grounds-shop; island-airfield-park</t>
  </si>
  <si>
    <t xml:space="preserve">Pathway Edition — wojrc.org</t>
  </si>
  <si>
    <t xml:space="preserve">Community Environmental Justice: 21; Mobility &amp; Transit: 18; Manufacturing &amp; Automation: 1</t>
  </si>
  <si>
    <t xml:space="preserve">afscme; seiu; teamsters</t>
  </si>
  <si>
    <t xml:space="preserve">grocery-and-meatpacking</t>
  </si>
  <si>
    <t xml:space="preserve">Grocery and Meatpacking — UFCW Store and Plant Floor</t>
  </si>
  <si>
    <t xml:space="preserve">Culinary &amp; Hospitality: 8</t>
  </si>
  <si>
    <t xml:space="preserve">ufcw</t>
  </si>
  <si>
    <t xml:space="preserve">ufcw-training</t>
  </si>
  <si>
    <t xml:space="preserve">airline-cabin-and-flight-crew</t>
  </si>
  <si>
    <t xml:space="preserve">Airline Cabin and Flight Crew — AFA-CWA and ALPA</t>
  </si>
  <si>
    <t xml:space="preserve">afa-cwa; alpa; cwa</t>
  </si>
  <si>
    <t xml:space="preserve">afa-cwa-training; alpa-training; cwa-training</t>
  </si>
  <si>
    <t xml:space="preserve">west-oakland-truck-yard</t>
  </si>
  <si>
    <t xml:space="preserve">mill-and-mine</t>
  </si>
  <si>
    <t xml:space="preserve">Mill and Mine</t>
  </si>
  <si>
    <t xml:space="preserve">umwa; usw</t>
  </si>
  <si>
    <t xml:space="preserve">umwa-training; usw-mazzocchi-center</t>
  </si>
  <si>
    <t xml:space="preserve">screen-and-media-crafts</t>
  </si>
  <si>
    <t xml:space="preserve">Screen &amp; Media Crafts</t>
  </si>
  <si>
    <t xml:space="preserve">Entertainment &amp; Live Events: 8</t>
  </si>
  <si>
    <t xml:space="preserve">aea; afm; cwa; iatse; newsguild-cwa; sag-aftra</t>
  </si>
  <si>
    <t xml:space="preserve">aea-training; afm-training; cwa-training; iatse-training-trust; newsguild-cwa-training; sag-aftra-training</t>
  </si>
  <si>
    <t xml:space="preserve">postal-and-mail-processing</t>
  </si>
  <si>
    <t xml:space="preserve">Postal &amp; Mail Processing Crew</t>
  </si>
  <si>
    <t xml:space="preserve">Manufacturing &amp; Automation: 4; Mobility &amp; Transit: 4</t>
  </si>
  <si>
    <t xml:space="preserve">apwu; nalc; npmhu</t>
  </si>
  <si>
    <t xml:space="preserve">apwu-training; nalc-training; npmhu-training</t>
  </si>
  <si>
    <t xml:space="preserve">yacht-and-charter-crew</t>
  </si>
  <si>
    <t xml:space="preserve">Yacht &amp; Charter Crew</t>
  </si>
  <si>
    <t xml:space="preserve">Maritime &amp; Ports: 8</t>
  </si>
  <si>
    <t xml:space="preserve">ibu; meba; siu</t>
  </si>
  <si>
    <t xml:space="preserve">ilwu-pma-training; meba-calhoon-school; siu-paul-hall-center</t>
  </si>
  <si>
    <t xml:space="preserve">estuary-marina-boatyard; island-yacht-harbor</t>
  </si>
  <si>
    <t xml:space="preserve">marine-ecology-and-restoration</t>
  </si>
  <si>
    <t xml:space="preserve">Marine Ecology &amp; Restoration — Survey and Restoration Crews</t>
  </si>
  <si>
    <t xml:space="preserve">Water &amp; Environmental: 8</t>
  </si>
  <si>
    <t xml:space="preserve">afscme; cwa; liuna; seiu; seiu-1021; upte-cwa</t>
  </si>
  <si>
    <t xml:space="preserve">afscme-training; cwa-training; liuna-training-fund; seiu-1021-training; seiu-training; upte-cwa-training</t>
  </si>
  <si>
    <t xml:space="preserve">channel-buoy-tender-pier; estuary-research-dock; north-shoreline-field-lab</t>
  </si>
  <si>
    <t xml:space="preserve">eelgrass-fish-census-line; eelgrass-transplant-plots; flats-sediment-core-site; kelp-transect-start; marsh-mouth-tide-gate; reef-ball-monitoring-plot; seamount-capstone-survey</t>
  </si>
  <si>
    <t xml:space="preserve">commercial-diving-and-scientific-scuba</t>
  </si>
  <si>
    <t xml:space="preserve">Commercial Diving &amp; Scientific Scuba</t>
  </si>
  <si>
    <t xml:space="preserve">carpenters; liuna</t>
  </si>
  <si>
    <t xml:space="preserve">carpenters-ictf; liuna-training-fund</t>
  </si>
  <si>
    <t xml:space="preserve">kelp-night-line-site; outfall-intake-lockout-site; pier-piling-inspection-station; pier-surface-supplied-station; shelf-checkout-site; trench-rov-station</t>
  </si>
  <si>
    <t xml:space="preserve">app</t>
  </si>
  <si>
    <t xml:space="preserve">title</t>
  </si>
  <si>
    <t xml:space="preserve">category</t>
  </si>
  <si>
    <t xml:space="preserve">programmes</t>
  </si>
  <si>
    <t xml:space="preserve">steps</t>
  </si>
  <si>
    <t xml:space="preserve">kinds</t>
  </si>
  <si>
    <t xml:space="preserve">hazards</t>
  </si>
  <si>
    <t xml:space="preserve">interruptions</t>
  </si>
  <si>
    <t xml:space="preserve">citations</t>
  </si>
  <si>
    <t xml:space="preserve">evalScore</t>
  </si>
  <si>
    <t xml:space="preserve">standardsScore</t>
  </si>
  <si>
    <t xml:space="preserve">meshes</t>
  </si>
  <si>
    <t xml:space="preserve">abatement-chamber</t>
  </si>
  <si>
    <t xml:space="preserve">smartcity</t>
  </si>
  <si>
    <t xml:space="preserve">SmartCiti.X~ Abatement Chamber VR</t>
  </si>
  <si>
    <t xml:space="preserve">Water &amp; Environmental</t>
  </si>
  <si>
    <t xml:space="preserve">select; find; gauge; sequence; hold; track; drag</t>
  </si>
  <si>
    <t xml:space="preserve">abatement-perimeter-awareness</t>
  </si>
  <si>
    <t xml:space="preserve">SmartCiti.X~ Abatement Perimeter Awareness VR</t>
  </si>
  <si>
    <t xml:space="preserve">Community Environmental Justice</t>
  </si>
  <si>
    <t xml:space="preserve">select; sequence; find; track; hold; gauge; turn; drag</t>
  </si>
  <si>
    <t xml:space="preserve">aerial-ladder</t>
  </si>
  <si>
    <t xml:space="preserve">SmartCiti.X~ Aerial Ladder VR</t>
  </si>
  <si>
    <t xml:space="preserve">Emergency Services</t>
  </si>
  <si>
    <t xml:space="preserve">select; sequence; drag; gauge; turn; track; find</t>
  </si>
  <si>
    <t xml:space="preserve">aerial-lashing</t>
  </si>
  <si>
    <t xml:space="preserve">SmartCiti.X~ Aerial Lashing VR</t>
  </si>
  <si>
    <t xml:space="preserve">Connectivity &amp; Telecom</t>
  </si>
  <si>
    <t xml:space="preserve">select; drag; hold; sequence; gauge; track; turn; find</t>
  </si>
  <si>
    <t xml:space="preserve">aerosol-management</t>
  </si>
  <si>
    <t xml:space="preserve">SmartCiti.X~ Aerosol Management VR</t>
  </si>
  <si>
    <t xml:space="preserve">Dental &amp; Oral Health</t>
  </si>
  <si>
    <t xml:space="preserve">select; find; gauge; sequence; hold; drag; track</t>
  </si>
  <si>
    <t xml:space="preserve">air-monitor</t>
  </si>
  <si>
    <t xml:space="preserve">SmartCiti.X~ Perimeter Air VR</t>
  </si>
  <si>
    <t xml:space="preserve">Environmental Monitoring</t>
  </si>
  <si>
    <t xml:space="preserve">air-quality-monitoring; hazmat-environmental; hunters-point-bay-restoration</t>
  </si>
  <si>
    <t xml:space="preserve">select; sequence; gauge; hold; turn; find</t>
  </si>
  <si>
    <t xml:space="preserve">air-network-data-qa</t>
  </si>
  <si>
    <t xml:space="preserve">SmartCiti.X~ Network Data Review VR</t>
  </si>
  <si>
    <t xml:space="preserve">select; sequence; find; hold; gauge; track</t>
  </si>
  <si>
    <t xml:space="preserve">air-sensor-install</t>
  </si>
  <si>
    <t xml:space="preserve">SmartCiti.X~ Neighbourhood Air Sensor VR</t>
  </si>
  <si>
    <t xml:space="preserve">select; sequence; turn; find; hold; gauge; track</t>
  </si>
  <si>
    <t xml:space="preserve">airport-ramp</t>
  </si>
  <si>
    <t xml:space="preserve">SmartCiti.X~ Airport Ramp VR</t>
  </si>
  <si>
    <t xml:space="preserve">Mobility &amp; Transit</t>
  </si>
  <si>
    <t xml:space="preserve">situational-awareness; transit-ramp</t>
  </si>
  <si>
    <t xml:space="preserve">select; find; sequence; track; gauge; drag</t>
  </si>
  <si>
    <t xml:space="preserve">allergen-cocktail</t>
  </si>
  <si>
    <t xml:space="preserve">SmartCiti.X~ Allergens &amp; Honest Drinks VR</t>
  </si>
  <si>
    <t xml:space="preserve">Culinary &amp; Hospitality</t>
  </si>
  <si>
    <t xml:space="preserve">select; find; sequence; drag; hold; track</t>
  </si>
  <si>
    <t xml:space="preserve">allergen-control</t>
  </si>
  <si>
    <t xml:space="preserve">SmartCiti.X~ Allergen Control VR</t>
  </si>
  <si>
    <t xml:space="preserve">select; sequence; hold; find; drag; track</t>
  </si>
  <si>
    <t xml:space="preserve">alteration-repair-ticket</t>
  </si>
  <si>
    <t xml:space="preserve">SmartCiti.X~ Alteration Repair Ticket VR</t>
  </si>
  <si>
    <t xml:space="preserve">Sewing &amp; Garment Trades</t>
  </si>
  <si>
    <t xml:space="preserve">select; drag; gauge; sequence; track; hold; find</t>
  </si>
  <si>
    <t xml:space="preserve">amalgam-waste-handling</t>
  </si>
  <si>
    <t xml:space="preserve">SmartCiti.X~ Amalgam Waste Handling VR</t>
  </si>
  <si>
    <t xml:space="preserve">turn; track; select; gauge; sequence; drag; find; hold</t>
  </si>
  <si>
    <t xml:space="preserve">ambulance-scene-safety</t>
  </si>
  <si>
    <t xml:space="preserve">SmartCiti.X~ Ambulance Scene Safety VR</t>
  </si>
  <si>
    <t xml:space="preserve">select; turn; sequence; drag; track; hold; find; gauge</t>
  </si>
  <si>
    <t xml:space="preserve">ammonia-plant</t>
  </si>
  <si>
    <t xml:space="preserve">SmartCiti.X~ Ammonia Plant VR</t>
  </si>
  <si>
    <t xml:space="preserve">Building Systems &amp; Facilities</t>
  </si>
  <si>
    <t xml:space="preserve">select; turn; drag; gauge; sequence; find; track</t>
  </si>
  <si>
    <t xml:space="preserve">apprenticeship-application-and-test</t>
  </si>
  <si>
    <t xml:space="preserve">SmartCiti.X~ Apprenticeship Application &amp; Test VR</t>
  </si>
  <si>
    <t xml:space="preserve">job-readiness-edition; wojrc-pathway-edition</t>
  </si>
  <si>
    <t xml:space="preserve">select; find; sequence; hold; drag; turn; gauge; track</t>
  </si>
  <si>
    <t xml:space="preserve">apprenticeship-standards-reading</t>
  </si>
  <si>
    <t xml:space="preserve">SmartCiti.X~ Reading an Apprenticeship Standard VR</t>
  </si>
  <si>
    <t xml:space="preserve">select; find; sequence</t>
  </si>
  <si>
    <t xml:space="preserve">arc-flash-label-study</t>
  </si>
  <si>
    <t xml:space="preserve">SmartCiti.X~ Arc-Flash Label Study VR</t>
  </si>
  <si>
    <t xml:space="preserve">Energy &amp; Power</t>
  </si>
  <si>
    <t xml:space="preserve">select; sequence; gauge; drag; find</t>
  </si>
  <si>
    <t xml:space="preserve">arena-rigging</t>
  </si>
  <si>
    <t xml:space="preserve">SmartCiti.X~ Arena Rigging VR</t>
  </si>
  <si>
    <t xml:space="preserve">Entertainment &amp; Live Events</t>
  </si>
  <si>
    <t xml:space="preserve">select; sequence; gauge; drag; turn; track; hold; find</t>
  </si>
  <si>
    <t xml:space="preserve">av-baggage-belt-loader-and-hold-loading</t>
  </si>
  <si>
    <t xml:space="preserve">SmartCiti.X~ Baggage Belt-Loader &amp; Hold Loading VR</t>
  </si>
  <si>
    <t xml:space="preserve">sequence; select; find; drag; turn; track; gauge; hold</t>
  </si>
  <si>
    <t xml:space="preserve">av-borescope-and-tool-control-inventory</t>
  </si>
  <si>
    <t xml:space="preserve">SmartCiti.X~ Borescope &amp; Tool-Control Inventory VR</t>
  </si>
  <si>
    <t xml:space="preserve">sequence; select; gauge; drag; track; find; hold</t>
  </si>
  <si>
    <t xml:space="preserve">av-deicing-truck-boom-operations</t>
  </si>
  <si>
    <t xml:space="preserve">SmartCiti.X~ De-icing Truck Boom Operations VR</t>
  </si>
  <si>
    <t xml:space="preserve">sequence; select; find; drag; turn; gauge; hold</t>
  </si>
  <si>
    <t xml:space="preserve">av-ground-power-and-static-bonding-before-fuel</t>
  </si>
  <si>
    <t xml:space="preserve">SmartCiti.X~ Ground Power &amp; Static Bonding Before Fuel VR</t>
  </si>
  <si>
    <t xml:space="preserve">sequence; select; find; drag; hold; track; gauge</t>
  </si>
  <si>
    <t xml:space="preserve">av-hangar-jacking-and-stands</t>
  </si>
  <si>
    <t xml:space="preserve">SmartCiti.X~ Hangar Jacking &amp; Stands VR</t>
  </si>
  <si>
    <t xml:space="preserve">sequence; select; find; track; turn; gauge; drag; hold</t>
  </si>
  <si>
    <t xml:space="preserve">av-lavatory-and-potable-water-separation</t>
  </si>
  <si>
    <t xml:space="preserve">SmartCiti.X~ Lavatory &amp; Potable Water Separation VR</t>
  </si>
  <si>
    <t xml:space="preserve">sequence; select; find; drag; turn; hold; track; gauge</t>
  </si>
  <si>
    <t xml:space="preserve">av-marshalling-and-wingwalker-signals</t>
  </si>
  <si>
    <t xml:space="preserve">SmartCiti.X~ Marshalling &amp; Wing-Walker Signals VR</t>
  </si>
  <si>
    <t xml:space="preserve">sequence; select; find; drag; track; hold; gauge</t>
  </si>
  <si>
    <t xml:space="preserve">av-pushback-tug-and-towbar-connection</t>
  </si>
  <si>
    <t xml:space="preserve">SmartCiti.X~ Pushback Tug &amp; Towbar Connection VR</t>
  </si>
  <si>
    <t xml:space="preserve">sequence; select; find; drag; hold; track; turn; gauge</t>
  </si>
  <si>
    <t xml:space="preserve">backflow-test</t>
  </si>
  <si>
    <t xml:space="preserve">SmartCiti.X~ Backflow Test VR</t>
  </si>
  <si>
    <t xml:space="preserve">select; sequence; find; hold; turn; gauge; track</t>
  </si>
  <si>
    <t xml:space="preserve">bakery-mixer</t>
  </si>
  <si>
    <t xml:space="preserve">SmartCiti.X~ Bakery Mixer VR</t>
  </si>
  <si>
    <t xml:space="preserve">select; hold; turn; drag; gauge; track; find</t>
  </si>
  <si>
    <t xml:space="preserve">ballast-water-sampling</t>
  </si>
  <si>
    <t xml:space="preserve">SmartCiti.X~ Ballast Water Sampling VR</t>
  </si>
  <si>
    <t xml:space="preserve">Maritime &amp; Ports</t>
  </si>
  <si>
    <t xml:space="preserve">select; turn; track; drag; hold; sequence; gauge; find</t>
  </si>
  <si>
    <t xml:space="preserve">banquet-hot-hold</t>
  </si>
  <si>
    <t xml:space="preserve">SmartCiti.X~ Banquet Hot Hold VR</t>
  </si>
  <si>
    <t xml:space="preserve">culinary-kitchen; hotel-workers</t>
  </si>
  <si>
    <t xml:space="preserve">select; turn; gauge; drag; sequence; track; find; hold</t>
  </si>
  <si>
    <t xml:space="preserve">banquet-setup-lift</t>
  </si>
  <si>
    <t xml:space="preserve">SmartCiti.X~ Banquet Setup Lift VR</t>
  </si>
  <si>
    <t xml:space="preserve">select; drag; hold; sequence; gauge; turn; find</t>
  </si>
  <si>
    <t xml:space="preserve">bar-well-setup</t>
  </si>
  <si>
    <t xml:space="preserve">SmartCiti.X~ Opening the Well VR</t>
  </si>
  <si>
    <t xml:space="preserve">select; gauge; sequence; hold; drag; track; find</t>
  </si>
  <si>
    <t xml:space="preserve">battery-storage-container-commissioning</t>
  </si>
  <si>
    <t xml:space="preserve">SmartCiti.X~ Battery Storage Container Commissioning VR</t>
  </si>
  <si>
    <t xml:space="preserve">select; find; gauge; sequence; drag; hold; turn; track</t>
  </si>
  <si>
    <t xml:space="preserve">battery-yard</t>
  </si>
  <si>
    <t xml:space="preserve">SmartCiti.X~ Battery Yard VR</t>
  </si>
  <si>
    <t xml:space="preserve">electrical-first-period; energy-transition</t>
  </si>
  <si>
    <t xml:space="preserve">select; sequence; hold; gauge; drag; find</t>
  </si>
  <si>
    <t xml:space="preserve">bb-coach-feedback-and-growth-mindset</t>
  </si>
  <si>
    <t xml:space="preserve">SmartCiti.X~ Coach Feedback and Growth Mindset VR</t>
  </si>
  <si>
    <t xml:space="preserve">Youth Sports &amp; Coaching</t>
  </si>
  <si>
    <t xml:space="preserve">find; select; hold; sequence; turn; gauge; drag; track</t>
  </si>
  <si>
    <t xml:space="preserve">bb-composure-with-a-hostile-crowd-and-officials</t>
  </si>
  <si>
    <t xml:space="preserve">SmartCiti.X~ Composure with a Hostile Crowd and Officials VR</t>
  </si>
  <si>
    <t xml:space="preserve">bb-defensive-stance-and-closeouts</t>
  </si>
  <si>
    <t xml:space="preserve">SmartCiti.X~ Defensive Stance and Closeouts VR</t>
  </si>
  <si>
    <t xml:space="preserve">find; select; sequence; hold; track; gauge; turn; drag</t>
  </si>
  <si>
    <t xml:space="preserve">bb-dribble-moves-and-change-of-pace</t>
  </si>
  <si>
    <t xml:space="preserve">SmartCiti.X~ Dribble Moves and Change of Pace VR</t>
  </si>
  <si>
    <t xml:space="preserve">find; select; sequence; gauge; turn; hold; track; drag</t>
  </si>
  <si>
    <t xml:space="preserve">bb-final-possession-decision-under-pressure</t>
  </si>
  <si>
    <t xml:space="preserve">SmartCiti.X~ Final Possession, Decision Under Pressure VR</t>
  </si>
  <si>
    <t xml:space="preserve">find; select; sequence; turn; hold; gauge; drag; track</t>
  </si>
  <si>
    <t xml:space="preserve">bb-footwork-pivots-and-jump-stops</t>
  </si>
  <si>
    <t xml:space="preserve">SmartCiti.X~ Footwork: Pivots and Jump Stops VR</t>
  </si>
  <si>
    <t xml:space="preserve">find; select; sequence; hold; gauge; turn; drag; track</t>
  </si>
  <si>
    <t xml:space="preserve">bb-free-throw-routine</t>
  </si>
  <si>
    <t xml:space="preserve">SmartCiti.X~ Free Throw Routine VR</t>
  </si>
  <si>
    <t xml:space="preserve">find; select; drag; sequence; hold; turn; gauge; track</t>
  </si>
  <si>
    <t xml:space="preserve">bb-layups-and-finishing-at-the-rim</t>
  </si>
  <si>
    <t xml:space="preserve">SmartCiti.X~ Layups and Finishing at the Rim VR</t>
  </si>
  <si>
    <t xml:space="preserve">find; hold; select; sequence; turn; track; gauge; drag</t>
  </si>
  <si>
    <t xml:space="preserve">bb-passing-and-catching</t>
  </si>
  <si>
    <t xml:space="preserve">SmartCiti.X~ Passing and Catching VR</t>
  </si>
  <si>
    <t xml:space="preserve">find; select; sequence; hold; gauge; drag; turn; track</t>
  </si>
  <si>
    <t xml:space="preserve">bb-pre-game-routine-and-visualisation</t>
  </si>
  <si>
    <t xml:space="preserve">SmartCiti.X~ Pre-Game Routine and Visualisation VR</t>
  </si>
  <si>
    <t xml:space="preserve">find; select; hold; sequence; gauge; turn; drag; track</t>
  </si>
  <si>
    <t xml:space="preserve">bb-rebounding-and-boxing-out</t>
  </si>
  <si>
    <t xml:space="preserve">SmartCiti.X~ Rebounding and Boxing Out VR</t>
  </si>
  <si>
    <t xml:space="preserve">find; select; sequence; hold; turn; gauge; track; drag</t>
  </si>
  <si>
    <t xml:space="preserve">bb-reset-routine-after-a-miss</t>
  </si>
  <si>
    <t xml:space="preserve">SmartCiti.X~ Reset Routine After a Miss VR</t>
  </si>
  <si>
    <t xml:space="preserve">bb-scrimmage-and-sportsmanship-debrief</t>
  </si>
  <si>
    <t xml:space="preserve">SmartCiti.X~ Scrimmage and Sportsmanship Debrief VR</t>
  </si>
  <si>
    <t xml:space="preserve">find; select; sequence; turn; track; gauge; hold; drag</t>
  </si>
  <si>
    <t xml:space="preserve">bb-shooting-form-and-arc</t>
  </si>
  <si>
    <t xml:space="preserve">SmartCiti.X~ Shooting Form and Arc VR</t>
  </si>
  <si>
    <t xml:space="preserve">find; select; turn; sequence; hold; track; gauge; drag</t>
  </si>
  <si>
    <t xml:space="preserve">bb-stance-and-ball-handling</t>
  </si>
  <si>
    <t xml:space="preserve">SmartCiti.X~ Stance and Ball Handling VR</t>
  </si>
  <si>
    <t xml:space="preserve">find; gauge; drag; sequence; hold; select; turn; track</t>
  </si>
  <si>
    <t xml:space="preserve">bb-team-offense-spacing-and-screens</t>
  </si>
  <si>
    <t xml:space="preserve">SmartCiti.X~ Team Offense: Spacing and Screens VR</t>
  </si>
  <si>
    <t xml:space="preserve">find; select; drag; sequence; hold; gauge; turn; track</t>
  </si>
  <si>
    <t xml:space="preserve">bb-teammate-conflict-and-accountability</t>
  </si>
  <si>
    <t xml:space="preserve">SmartCiti.X~ Teammate Conflict and Accountability VR</t>
  </si>
  <si>
    <t xml:space="preserve">bb-warmup-injury-prevention-and-hydration</t>
  </si>
  <si>
    <t xml:space="preserve">SmartCiti.X~ Warm-Up, Injury Prevention and Hydration VR</t>
  </si>
  <si>
    <t xml:space="preserve">biomonitoring-consent</t>
  </si>
  <si>
    <t xml:space="preserve">SmartCiti.X~ Biomonitoring Consent VR</t>
  </si>
  <si>
    <t xml:space="preserve">select; hold; find; drag; turn; sequence</t>
  </si>
  <si>
    <t xml:space="preserve">bioswale-build</t>
  </si>
  <si>
    <t xml:space="preserve">SmartCiti.X~ Bioswale Build VR</t>
  </si>
  <si>
    <t xml:space="preserve">select; find; sequence; gauge; drag; track; turn; hold</t>
  </si>
  <si>
    <t xml:space="preserve">boiler-room</t>
  </si>
  <si>
    <t xml:space="preserve">SmartCiti.X~ Boiler Room VR</t>
  </si>
  <si>
    <t xml:space="preserve">property-management; situational-awareness; stationary-engineer</t>
  </si>
  <si>
    <t xml:space="preserve">select; gauge; sequence; turn; hold; track</t>
  </si>
  <si>
    <t xml:space="preserve">br-barge-loading-of-contaminated-sediment</t>
  </si>
  <si>
    <t xml:space="preserve">SmartCiti.X~ Barge Loading of Contaminated Sediment VR</t>
  </si>
  <si>
    <t xml:space="preserve">sequence; select; find; drag; turn; track; hold; gauge</t>
  </si>
  <si>
    <t xml:space="preserve">br-beach-seine-fish-survey-and-handling</t>
  </si>
  <si>
    <t xml:space="preserve">SmartCiti.X~ Beach Seine Fish Survey &amp; Handling VR</t>
  </si>
  <si>
    <t xml:space="preserve">br-benthic-grab-and-invertebrate-sorting</t>
  </si>
  <si>
    <t xml:space="preserve">SmartCiti.X~ Benthic Grab &amp; Invertebrate Sorting VR</t>
  </si>
  <si>
    <t xml:space="preserve">sequence; select; find; turn; drag; track; hold; gauge</t>
  </si>
  <si>
    <t xml:space="preserve">br-bird-nesting-buffer-and-work-window</t>
  </si>
  <si>
    <t xml:space="preserve">SmartCiti.X~ Bird Nesting Buffer &amp; Work Window VR</t>
  </si>
  <si>
    <t xml:space="preserve">br-boom-towing-between-two-vessels</t>
  </si>
  <si>
    <t xml:space="preserve">SmartCiti.X~ Boom Towing Between Two Vessels VR</t>
  </si>
  <si>
    <t xml:space="preserve">sequence; select; find; gauge; turn; hold; track; drag</t>
  </si>
  <si>
    <t xml:space="preserve">br-cold-water-immersion-and-mob-recovery</t>
  </si>
  <si>
    <t xml:space="preserve">SmartCiti.X~ Cold Water Immersion &amp; MOB Recovery VR</t>
  </si>
  <si>
    <t xml:space="preserve">sequence; find; select; drag; hold; gauge; turn; track</t>
  </si>
  <si>
    <t xml:space="preserve">br-culvert-retrofit-for-fish-passage</t>
  </si>
  <si>
    <t xml:space="preserve">SmartCiti.X~ Culvert Retrofit For Fish Passage VR</t>
  </si>
  <si>
    <t xml:space="preserve">select; sequence; find; drag; turn; gauge; track; hold</t>
  </si>
  <si>
    <t xml:space="preserve">br-debris-skimmer-vessel-operations</t>
  </si>
  <si>
    <t xml:space="preserve">SmartCiti.X~ Debris Skimmer Vessel Operations VR</t>
  </si>
  <si>
    <t xml:space="preserve">sequence; select; find; turn; gauge; track; drag; hold</t>
  </si>
  <si>
    <t xml:space="preserve">br-derelict-gear-recovery-dive</t>
  </si>
  <si>
    <t xml:space="preserve">SmartCiti.X~ Derelict Gear Recovery Dive VR</t>
  </si>
  <si>
    <t xml:space="preserve">select; find; hold; turn; drag; sequence; gauge; track</t>
  </si>
  <si>
    <t xml:space="preserve">br-derelict-vessel-salvage-rigging</t>
  </si>
  <si>
    <t xml:space="preserve">SmartCiti.X~ Derelict Vessel Salvage Rigging VR</t>
  </si>
  <si>
    <t xml:space="preserve">sequence; select; find; drag; gauge; turn; track; hold</t>
  </si>
  <si>
    <t xml:space="preserve">br-dive-site-hazard-assessment-and-jsa</t>
  </si>
  <si>
    <t xml:space="preserve">SmartCiti.X~ Dive Site Hazard Assessment &amp; JSA VR</t>
  </si>
  <si>
    <t xml:space="preserve">select; find; gauge; hold; turn; drag; track; sequence</t>
  </si>
  <si>
    <t xml:space="preserve">br-dive-tender-and-umbilical-management</t>
  </si>
  <si>
    <t xml:space="preserve">SmartCiti.X~ Dive Tender &amp; Umbilical Management VR</t>
  </si>
  <si>
    <t xml:space="preserve">select; find; sequence; drag; track; hold; gauge; turn</t>
  </si>
  <si>
    <t xml:space="preserve">br-dredge-material-screening-and-disposal-decision</t>
  </si>
  <si>
    <t xml:space="preserve">SmartCiti.X~ Dredge Material Screening &amp; Disposal Decision VR</t>
  </si>
  <si>
    <t xml:space="preserve">select; sequence; gauge; find; turn; track; hold; drag</t>
  </si>
  <si>
    <t xml:space="preserve">br-dredge-spoils-dewatering-pad</t>
  </si>
  <si>
    <t xml:space="preserve">SmartCiti.X~ Dredge Spoils Dewatering Pad VR</t>
  </si>
  <si>
    <t xml:space="preserve">select; sequence; find; gauge; drag; turn; track; hold</t>
  </si>
  <si>
    <t xml:space="preserve">br-drone-shoreline-survey</t>
  </si>
  <si>
    <t xml:space="preserve">SmartCiti.X~ Drone Shoreline Survey VR</t>
  </si>
  <si>
    <t xml:space="preserve">br-fish-screen-maintenance</t>
  </si>
  <si>
    <t xml:space="preserve">SmartCiti.X~ Fish Screen Maintenance VR</t>
  </si>
  <si>
    <t xml:space="preserve">select; sequence; find; gauge; turn; drag; hold; track</t>
  </si>
  <si>
    <t xml:space="preserve">br-hyperbaric-chamber-standby</t>
  </si>
  <si>
    <t xml:space="preserve">SmartCiti.X~ Hyperbaric Chamber Standby VR</t>
  </si>
  <si>
    <t xml:space="preserve">select; find; turn; gauge; hold; sequence; drag; track</t>
  </si>
  <si>
    <t xml:space="preserve">br-intertidal-invasive-removal-by-hand-crew</t>
  </si>
  <si>
    <t xml:space="preserve">SmartCiti.X~ Intertidal Invasive Removal By Hand Crew VR</t>
  </si>
  <si>
    <t xml:space="preserve">select; sequence; find; turn; hold; gauge; drag; track</t>
  </si>
  <si>
    <t xml:space="preserve">br-legacy-mercury-and-pcb-hotspot-handling</t>
  </si>
  <si>
    <t xml:space="preserve">SmartCiti.X~ Legacy Mercury &amp; PCB Hotspot Handling VR</t>
  </si>
  <si>
    <t xml:space="preserve">select; sequence; gauge; find; drag; turn; track; hold</t>
  </si>
  <si>
    <t xml:space="preserve">br-levee-inspection-and-seepage</t>
  </si>
  <si>
    <t xml:space="preserve">SmartCiti.X~ Levee Inspection And Seepage VR</t>
  </si>
  <si>
    <t xml:space="preserve">select; sequence; find; gauge; track; drag; hold; turn</t>
  </si>
  <si>
    <t xml:space="preserve">br-marine-mammal-observer-during-pile-driving</t>
  </si>
  <si>
    <t xml:space="preserve">SmartCiti.X~ Marine Mammal Observer During Pile Driving VR</t>
  </si>
  <si>
    <t xml:space="preserve">sequence; select; find; turn; track; hold; gauge</t>
  </si>
  <si>
    <t xml:space="preserve">br-native-planting-and-erosion-mats</t>
  </si>
  <si>
    <t xml:space="preserve">SmartCiti.X~ Native Planting &amp; Erosion Control Mats VR</t>
  </si>
  <si>
    <t xml:space="preserve">br-restoration-data-qa-and-public-reporting</t>
  </si>
  <si>
    <t xml:space="preserve">SmartCiti.X~ Restoration Data QA &amp; Public Reporting VR</t>
  </si>
  <si>
    <t xml:space="preserve">br-sediment-chain-of-custody-and-lab-prep</t>
  </si>
  <si>
    <t xml:space="preserve">SmartCiti.X~ Sediment Chain of Custody &amp; Lab Prep VR</t>
  </si>
  <si>
    <t xml:space="preserve">select; sequence; find; gauge; turn; track; hold; drag</t>
  </si>
  <si>
    <t xml:space="preserve">br-shoreline-cleanup-sharps-and-hazardous-debris</t>
  </si>
  <si>
    <t xml:space="preserve">SmartCiti.X~ Shoreline Cleanup — Sharps And Hazardous Debris VR</t>
  </si>
  <si>
    <t xml:space="preserve">select; sequence; find; gauge; drag; track; hold; turn</t>
  </si>
  <si>
    <t xml:space="preserve">br-surface-supplied-dive-station-setup</t>
  </si>
  <si>
    <t xml:space="preserve">SmartCiti.X~ Surface-Supplied Dive Station Setup VR</t>
  </si>
  <si>
    <t xml:space="preserve">select; drag; find; turn; sequence; gauge; hold; track</t>
  </si>
  <si>
    <t xml:space="preserve">br-tidal-marsh-grading-amphibious-excavator</t>
  </si>
  <si>
    <t xml:space="preserve">SmartCiti.X~ Tidal Marsh Grading — Amphibious Excavator VR</t>
  </si>
  <si>
    <t xml:space="preserve">select; sequence; find; drag; turn; track; gauge; hold</t>
  </si>
  <si>
    <t xml:space="preserve">br-trash-capture-device-service</t>
  </si>
  <si>
    <t xml:space="preserve">SmartCiti.X~ Trash Capture Device Service VR</t>
  </si>
  <si>
    <t xml:space="preserve">br-turbidity-curtain-deployment</t>
  </si>
  <si>
    <t xml:space="preserve">SmartCiti.X~ Turbidity Curtain Deployment VR</t>
  </si>
  <si>
    <t xml:space="preserve">select; sequence; find; gauge; turn; drag; track; hold</t>
  </si>
  <si>
    <t xml:space="preserve">br-underwater-debris-survey-and-mapping</t>
  </si>
  <si>
    <t xml:space="preserve">SmartCiti.X~ Underwater Debris Survey &amp; Mapping VR</t>
  </si>
  <si>
    <t xml:space="preserve">select; turn; drag; track; find; gauge; sequence; hold</t>
  </si>
  <si>
    <t xml:space="preserve">br-underwater-sediment-core-sampling</t>
  </si>
  <si>
    <t xml:space="preserve">SmartCiti.X~ Underwater Sediment Core Sampling VR</t>
  </si>
  <si>
    <t xml:space="preserve">select; find; drag; track; sequence; hold; gauge; turn</t>
  </si>
  <si>
    <t xml:space="preserve">br-vhf-and-navigation-in-a-work-zone</t>
  </si>
  <si>
    <t xml:space="preserve">SmartCiti.X~ VHF &amp; Navigation in a Work Zone VR</t>
  </si>
  <si>
    <t xml:space="preserve">sequence; find; select; turn; gauge; track; hold</t>
  </si>
  <si>
    <t xml:space="preserve">br-volunteer-cleanup-day-safety-lead</t>
  </si>
  <si>
    <t xml:space="preserve">SmartCiti.X~ Volunteer Cleanup Day Safety Lead VR</t>
  </si>
  <si>
    <t xml:space="preserve">br-water-quality-sonde-calibration-and-deploy</t>
  </si>
  <si>
    <t xml:space="preserve">SmartCiti.X~ Water Quality Sonde Calibration &amp; Deploy VR</t>
  </si>
  <si>
    <t xml:space="preserve">select; sequence; find; gauge; hold; drag; turn; track</t>
  </si>
  <si>
    <t xml:space="preserve">br-workboat-crane-lift-from-water</t>
  </si>
  <si>
    <t xml:space="preserve">SmartCiti.X~ Workboat Crane Lift From Water VR</t>
  </si>
  <si>
    <t xml:space="preserve">sequence; select; find; turn; gauge; drag; track; hold</t>
  </si>
  <si>
    <t xml:space="preserve">bridge-blast</t>
  </si>
  <si>
    <t xml:space="preserve">SmartCiti.X~ Bridge Blast VR</t>
  </si>
  <si>
    <t xml:space="preserve">Surface Prep &amp; Coatings</t>
  </si>
  <si>
    <t xml:space="preserve">select; drag; gauge; turn; sequence; track; find; hold</t>
  </si>
  <si>
    <t xml:space="preserve">bridge-cable-inspection</t>
  </si>
  <si>
    <t xml:space="preserve">SmartCiti.X~ Bridge Cable Inspection VR</t>
  </si>
  <si>
    <t xml:space="preserve">Construction &amp; Structural Trades</t>
  </si>
  <si>
    <t xml:space="preserve">select; turn; find; track; gauge; drag; sequence</t>
  </si>
  <si>
    <t xml:space="preserve">bridge-lead-containment</t>
  </si>
  <si>
    <t xml:space="preserve">SmartCiti.X~ Bridge Lead Containment VR</t>
  </si>
  <si>
    <t xml:space="preserve">select; drag; sequence; turn; gauge; track; find; hold</t>
  </si>
  <si>
    <t xml:space="preserve">broadcast-truck</t>
  </si>
  <si>
    <t xml:space="preserve">SmartCiti.X~ Broadcast Truck VR</t>
  </si>
  <si>
    <t xml:space="preserve">select; turn; gauge; drag; sequence; hold; track; find</t>
  </si>
  <si>
    <t xml:space="preserve">bs-bearing-replacement-and-jacking</t>
  </si>
  <si>
    <t xml:space="preserve">SmartCiti.X~ Bearing Replacement &amp; Jacking VR</t>
  </si>
  <si>
    <t xml:space="preserve">select; sequence; find; drag; track; gauge; hold; turn</t>
  </si>
  <si>
    <t xml:space="preserve">bs-structural-bolting-and-torque</t>
  </si>
  <si>
    <t xml:space="preserve">SmartCiti.X~ Structural Bolting &amp; Torque VR</t>
  </si>
  <si>
    <t xml:space="preserve">select; find; gauge; sequence; turn; hold; track; drag</t>
  </si>
  <si>
    <t xml:space="preserve">bs-tandem-lift-girder-set</t>
  </si>
  <si>
    <t xml:space="preserve">SmartCiti.X~ Tandem Lift &amp; Girder Set VR</t>
  </si>
  <si>
    <t xml:space="preserve">select; find; gauge; drag; sequence; track; hold; turn</t>
  </si>
  <si>
    <t xml:space="preserve">bt-formwork-stripping-and-reshoring</t>
  </si>
  <si>
    <t xml:space="preserve">SmartCiti.X~ Formwork Stripping &amp; Reshoring VR</t>
  </si>
  <si>
    <t xml:space="preserve">select; find; turn; hold; drag; gauge; sequence; track</t>
  </si>
  <si>
    <t xml:space="preserve">bt-masonry-wall-layout-and-mortar</t>
  </si>
  <si>
    <t xml:space="preserve">SmartCiti.X~ Masonry Wall Layout &amp; Mortar VR</t>
  </si>
  <si>
    <t xml:space="preserve">select; sequence; find; drag; gauge; hold; turn; track</t>
  </si>
  <si>
    <t xml:space="preserve">bt-rebar-tying-and-impalement-protection</t>
  </si>
  <si>
    <t xml:space="preserve">SmartCiti.X~ Rebar Tying &amp; Impalement Protection VR</t>
  </si>
  <si>
    <t xml:space="preserve">select; find; drag; sequence; gauge; hold; turn; track</t>
  </si>
  <si>
    <t xml:space="preserve">budget-tradeoff-hearing</t>
  </si>
  <si>
    <t xml:space="preserve">SmartCiti.X~ Budget Tradeoff Hearing VR</t>
  </si>
  <si>
    <t xml:space="preserve">find; turn; select; sequence; gauge; hold; drag; track</t>
  </si>
  <si>
    <t xml:space="preserve">budget-with-irregular-income</t>
  </si>
  <si>
    <t xml:space="preserve">SmartCiti.X~ Budget With Irregular Income VR</t>
  </si>
  <si>
    <t xml:space="preserve">building-rad-scan</t>
  </si>
  <si>
    <t xml:space="preserve">SmartCiti.X~ Building Rad Scan VR</t>
  </si>
  <si>
    <t xml:space="preserve">select; sequence; hold; gauge; track; turn; drag; find</t>
  </si>
  <si>
    <t xml:space="preserve">bunkering-watch</t>
  </si>
  <si>
    <t xml:space="preserve">SmartCiti.X~ Bunkering Watch VR</t>
  </si>
  <si>
    <t xml:space="preserve">port-operations; ports-maritime-ecology</t>
  </si>
  <si>
    <t xml:space="preserve">select; sequence; track; gauge; turn; find</t>
  </si>
  <si>
    <t xml:space="preserve">bus-depot-lift</t>
  </si>
  <si>
    <t xml:space="preserve">SmartCiti.X~ Bus Depot Lift VR</t>
  </si>
  <si>
    <t xml:space="preserve">select; sequence; gauge; drag; track; hold; find</t>
  </si>
  <si>
    <t xml:space="preserve">bus-yard-fuelling-and-brake-check</t>
  </si>
  <si>
    <t xml:space="preserve">SmartCiti.X~ Bus Yard Fuelling &amp; Brake Check VR</t>
  </si>
  <si>
    <t xml:space="preserve">select; sequence; drag; hold; turn; find; gauge; track</t>
  </si>
  <si>
    <t xml:space="preserve">ca-cabin-decompression-and-oxygen-masks</t>
  </si>
  <si>
    <t xml:space="preserve">SmartCiti.X~ Cabin Decompression and Oxygen Mask Drill VR</t>
  </si>
  <si>
    <t xml:space="preserve">select; sequence; find; drag; hold; turn; gauge; track</t>
  </si>
  <si>
    <t xml:space="preserve">ca-cabin-medical-event-response</t>
  </si>
  <si>
    <t xml:space="preserve">SmartCiti.X~ Cabin Medical Event Response VR</t>
  </si>
  <si>
    <t xml:space="preserve">select; sequence; find; drag; turn; gauge; hold</t>
  </si>
  <si>
    <t xml:space="preserve">ca-cabin-preflight-safety-check</t>
  </si>
  <si>
    <t xml:space="preserve">SmartCiti.X~ Cabin Pre-Flight Safety Check VR</t>
  </si>
  <si>
    <t xml:space="preserve">select; find; sequence; hold; turn; track; drag</t>
  </si>
  <si>
    <t xml:space="preserve">ca-door-evacuation-drill</t>
  </si>
  <si>
    <t xml:space="preserve">SmartCiti.X~ Door Evacuation Drill VR</t>
  </si>
  <si>
    <t xml:space="preserve">select; sequence; find; drag; hold; track; gauge</t>
  </si>
  <si>
    <t xml:space="preserve">ca-fatigue-and-duty-time-self-check</t>
  </si>
  <si>
    <t xml:space="preserve">SmartCiti.X~ Fatigue and Duty-Time Self-Check VR</t>
  </si>
  <si>
    <t xml:space="preserve">ca-flight-deck-crew-resource-management</t>
  </si>
  <si>
    <t xml:space="preserve">SmartCiti.X~ Flight Deck Crew Resource Management Briefing VR</t>
  </si>
  <si>
    <t xml:space="preserve">sequence; find; select; turn; gauge; hold; track</t>
  </si>
  <si>
    <t xml:space="preserve">ca-galley-and-cart-safety</t>
  </si>
  <si>
    <t xml:space="preserve">SmartCiti.X~ Galley and Cart Safety VR</t>
  </si>
  <si>
    <t xml:space="preserve">select; find; sequence; gauge; turn; hold; track</t>
  </si>
  <si>
    <t xml:space="preserve">ca-unruly-passenger-deescalation</t>
  </si>
  <si>
    <t xml:space="preserve">SmartCiti.X~ Unruly Passenger De-escalation VR</t>
  </si>
  <si>
    <t xml:space="preserve">select; sequence; find; turn; gauge; drag</t>
  </si>
  <si>
    <t xml:space="preserve">cafeteria-serving</t>
  </si>
  <si>
    <t xml:space="preserve">SmartCiti.X~ Cafeteria Serving VR</t>
  </si>
  <si>
    <t xml:space="preserve">select; turn; gauge; hold; find; sequence; track; drag</t>
  </si>
  <si>
    <t xml:space="preserve">can-we-live-story</t>
  </si>
  <si>
    <t xml:space="preserve">SmartCiti.X~ Can We Live? — The Story VR</t>
  </si>
  <si>
    <t xml:space="preserve">select; sequence</t>
  </si>
  <si>
    <t xml:space="preserve">cardiac-arrest-pit-crew</t>
  </si>
  <si>
    <t xml:space="preserve">SmartCiti.X~ Cardiac Arrest — Pit Crew VR</t>
  </si>
  <si>
    <t xml:space="preserve">find; sequence; track; turn; drag; hold; select; gauge</t>
  </si>
  <si>
    <t xml:space="preserve">cath-lab</t>
  </si>
  <si>
    <t xml:space="preserve">SmartCiti.X~ Cath Lab VR</t>
  </si>
  <si>
    <t xml:space="preserve">select; find; sequence; gauge; turn; hold; drag; track</t>
  </si>
  <si>
    <t xml:space="preserve">cd-decompression-chamber-operations-and-post-dive</t>
  </si>
  <si>
    <t xml:space="preserve">SmartCiti.X~ Decompression Chamber Operations &amp; Post-Dive VR</t>
  </si>
  <si>
    <t xml:space="preserve">select; find; sequence; turn; drag; hold; track; gauge</t>
  </si>
  <si>
    <t xml:space="preserve">cd-dive-records-and-incident-review</t>
  </si>
  <si>
    <t xml:space="preserve">SmartCiti.X~ Dive Records &amp; Incident Review VR</t>
  </si>
  <si>
    <t xml:space="preserve">select; find; sequence; track; drag; hold; gauge; turn</t>
  </si>
  <si>
    <t xml:space="preserve">cd-hydraulic-tools-and-suction-hazards-underwater</t>
  </si>
  <si>
    <t xml:space="preserve">SmartCiti.X~ Hydraulic Tools &amp; Suction Hazards Underwater VR</t>
  </si>
  <si>
    <t xml:space="preserve">select; find; sequence; hold; turn; drag; track; gauge</t>
  </si>
  <si>
    <t xml:space="preserve">cd-low-visibility-and-night-dive-line-work</t>
  </si>
  <si>
    <t xml:space="preserve">SmartCiti.X~ Low-Visibility &amp; Night Dive Line Work VR</t>
  </si>
  <si>
    <t xml:space="preserve">select; find; sequence; track; hold; drag; gauge; turn</t>
  </si>
  <si>
    <t xml:space="preserve">cd-pier-piling-inspection-and-wrap-repair</t>
  </si>
  <si>
    <t xml:space="preserve">SmartCiti.X~ Pier Piling Inspection &amp; Wrap Repair VR</t>
  </si>
  <si>
    <t xml:space="preserve">select; track; find; hold; gauge; sequence; drag; turn</t>
  </si>
  <si>
    <t xml:space="preserve">cd-rov-launch-recovery-and-tether-management</t>
  </si>
  <si>
    <t xml:space="preserve">SmartCiti.X~ ROV Launch, Recovery &amp; Tether Management VR</t>
  </si>
  <si>
    <t xml:space="preserve">select; find; sequence; drag; turn; hold; track; gauge</t>
  </si>
  <si>
    <t xml:space="preserve">cd-scientific-scuba-buddy-check-and-lost-buddy-drill</t>
  </si>
  <si>
    <t xml:space="preserve">SmartCiti.X~ Scientific Scuba: Buddy Check &amp; Lost-Buddy Drill VR</t>
  </si>
  <si>
    <t xml:space="preserve">select; sequence; find; drag; track; hold; gauge; turn</t>
  </si>
  <si>
    <t xml:space="preserve">cd-underwater-wet-welding-and-cutting</t>
  </si>
  <si>
    <t xml:space="preserve">SmartCiti.X~ Underwater Wet Welding &amp; Cutting — Surface Side VR</t>
  </si>
  <si>
    <t xml:space="preserve">select; find; drag; sequence; turn; hold; track; gauge</t>
  </si>
  <si>
    <t xml:space="preserve">cell-site-battery</t>
  </si>
  <si>
    <t xml:space="preserve">SmartCiti.X~ Cell Site Battery VR</t>
  </si>
  <si>
    <t xml:space="preserve">select; sequence; turn; gauge; drag; hold; find</t>
  </si>
  <si>
    <t xml:space="preserve">chain-hoist</t>
  </si>
  <si>
    <t xml:space="preserve">SmartCiti.X~ Chain Hoist VR</t>
  </si>
  <si>
    <t xml:space="preserve">live-events; rigging-lifting</t>
  </si>
  <si>
    <t xml:space="preserve">select; gauge; sequence; hold; track; find</t>
  </si>
  <si>
    <t xml:space="preserve">chairside-emergency</t>
  </si>
  <si>
    <t xml:space="preserve">SmartCiti.X~ Chairside Emergency VR</t>
  </si>
  <si>
    <t xml:space="preserve">find; sequence; hold; turn; select; track; drag</t>
  </si>
  <si>
    <t xml:space="preserve">charge-point</t>
  </si>
  <si>
    <t xml:space="preserve">SmartCiti.X~ Charge Point VR</t>
  </si>
  <si>
    <t xml:space="preserve">select; sequence; turn; hold; gauge; drag</t>
  </si>
  <si>
    <t xml:space="preserve">chiller-plant</t>
  </si>
  <si>
    <t xml:space="preserve">SmartCiti.X~ Chiller Plant VR</t>
  </si>
  <si>
    <t xml:space="preserve">select; gauge; turn; sequence; drag; find</t>
  </si>
  <si>
    <t xml:space="preserve">chlorine-room</t>
  </si>
  <si>
    <t xml:space="preserve">SmartCiti.X~ Chlorine Room VR</t>
  </si>
  <si>
    <t xml:space="preserve">confined-space; situational-awareness</t>
  </si>
  <si>
    <t xml:space="preserve">select; gauge; sequence; turn; drag; hold; find</t>
  </si>
  <si>
    <t xml:space="preserve">civic-principles-briefing</t>
  </si>
  <si>
    <t xml:space="preserve">SmartCiti.X~ Civic Principles Briefing VR</t>
  </si>
  <si>
    <t xml:space="preserve">cm-cold-weather-curing-and-blankets</t>
  </si>
  <si>
    <t xml:space="preserve">SmartCiti.X~ Cold Weather Curing &amp; Blankets VR</t>
  </si>
  <si>
    <t xml:space="preserve">select; find; sequence; gauge; drag; hold; track</t>
  </si>
  <si>
    <t xml:space="preserve">cm-concrete-saw-cutting-with-water-and-silica-control</t>
  </si>
  <si>
    <t xml:space="preserve">SmartCiti.X~ Concrete Saw Cutting with Water &amp; Silica Control VR</t>
  </si>
  <si>
    <t xml:space="preserve">select; find; sequence; gauge; turn; hold; track; drag</t>
  </si>
  <si>
    <t xml:space="preserve">cm-curb-and-gutter-forms-and-finish</t>
  </si>
  <si>
    <t xml:space="preserve">SmartCiti.X~ Curb &amp; Gutter Forms &amp; Finish VR</t>
  </si>
  <si>
    <t xml:space="preserve">select; find; sequence; gauge; track; hold; turn; drag</t>
  </si>
  <si>
    <t xml:space="preserve">cm-epoxy-floor-coating-and-ventilation</t>
  </si>
  <si>
    <t xml:space="preserve">SmartCiti.X~ Epoxy Floor Coating &amp; Ventilation VR</t>
  </si>
  <si>
    <t xml:space="preserve">select; find; sequence; gauge; hold; turn; track; drag</t>
  </si>
  <si>
    <t xml:space="preserve">cm-exterior-plaster-scratch-brown-and-finish-coats</t>
  </si>
  <si>
    <t xml:space="preserve">SmartCiti.X~ Exterior Plaster Scratch, Brown &amp; Finish Coats VR</t>
  </si>
  <si>
    <t xml:space="preserve">select; find; sequence; gauge; hold; drag; turn</t>
  </si>
  <si>
    <t xml:space="preserve">cm-power-trowel-operation-and-guarding</t>
  </si>
  <si>
    <t xml:space="preserve">SmartCiti.X~ Power Trowel Operation &amp; Guarding VR</t>
  </si>
  <si>
    <t xml:space="preserve">select; find; sequence; gauge; hold; track; turn; drag</t>
  </si>
  <si>
    <t xml:space="preserve">cm-shotcrete-nozzle-and-rebound</t>
  </si>
  <si>
    <t xml:space="preserve">SmartCiti.X~ Shotcrete Nozzle &amp; Rebound VR</t>
  </si>
  <si>
    <t xml:space="preserve">cm-slab-screed-bull-float-and-trowel</t>
  </si>
  <si>
    <t xml:space="preserve">SmartCiti.X~ Slab Screed, Bull Float &amp; Trowel VR</t>
  </si>
  <si>
    <t xml:space="preserve">cnc-cell</t>
  </si>
  <si>
    <t xml:space="preserve">SmartCiti.X~ CNC Cell VR</t>
  </si>
  <si>
    <t xml:space="preserve">Manufacturing &amp; Automation</t>
  </si>
  <si>
    <t xml:space="preserve">select; sequence; gauge; track; turn; drag; find</t>
  </si>
  <si>
    <t xml:space="preserve">coalition-building-table</t>
  </si>
  <si>
    <t xml:space="preserve">SmartCiti.X~ Coalition Building Table VR</t>
  </si>
  <si>
    <t xml:space="preserve">find; turn; select; hold; sequence; drag; gauge; track</t>
  </si>
  <si>
    <t xml:space="preserve">community-listening-session</t>
  </si>
  <si>
    <t xml:space="preserve">SmartCiti.X~ Community Listening Session VR</t>
  </si>
  <si>
    <t xml:space="preserve">find; drag; select; turn; hold; sequence; gauge; track</t>
  </si>
  <si>
    <t xml:space="preserve">community-soil-split</t>
  </si>
  <si>
    <t xml:space="preserve">SmartCiti.X~ Community Soil Split VR</t>
  </si>
  <si>
    <t xml:space="preserve">select; gauge; sequence; hold; drag; find</t>
  </si>
  <si>
    <t xml:space="preserve">concrete-pour</t>
  </si>
  <si>
    <t xml:space="preserve">SmartCiti.X~ Concrete Pour VR</t>
  </si>
  <si>
    <t xml:space="preserve">confined-rescue</t>
  </si>
  <si>
    <t xml:space="preserve">SmartCiti.X~ Confined Rescue VR</t>
  </si>
  <si>
    <t xml:space="preserve">select; hold; sequence; turn; gauge; track</t>
  </si>
  <si>
    <t xml:space="preserve">conflict-mediation-room</t>
  </si>
  <si>
    <t xml:space="preserve">SmartCiti.X~ Conflict Mediation Room VR</t>
  </si>
  <si>
    <t xml:space="preserve">find; select; turn; sequence; hold; drag; gauge; track</t>
  </si>
  <si>
    <t xml:space="preserve">constituent-service-desk</t>
  </si>
  <si>
    <t xml:space="preserve">SmartCiti.X~ Constituent Service Desk VR</t>
  </si>
  <si>
    <t xml:space="preserve">find; select; hold; sequence; drag; gauge; turn; track</t>
  </si>
  <si>
    <t xml:space="preserve">container-lashing</t>
  </si>
  <si>
    <t xml:space="preserve">SmartCiti.X~ Container Lashing VR</t>
  </si>
  <si>
    <t xml:space="preserve">bay-area-union-edition; port-operations; ports-maritime-ecology</t>
  </si>
  <si>
    <t xml:space="preserve">select; sequence; hold; gauge; turn; find</t>
  </si>
  <si>
    <t xml:space="preserve">conveyor-guard</t>
  </si>
  <si>
    <t xml:space="preserve">SmartCiti.X~ Conveyor Guard VR</t>
  </si>
  <si>
    <t xml:space="preserve">select; turn; hold; drag; find; gauge</t>
  </si>
  <si>
    <t xml:space="preserve">cooling-tower</t>
  </si>
  <si>
    <t xml:space="preserve">SmartCiti.X~ Cooling Tower VR</t>
  </si>
  <si>
    <t xml:space="preserve">select; sequence; turn; hold; find; gauge; track</t>
  </si>
  <si>
    <t xml:space="preserve">crane-yard</t>
  </si>
  <si>
    <t xml:space="preserve">SmartCiti.X~ Crane Yard VR</t>
  </si>
  <si>
    <t xml:space="preserve">rigging-lifting; situational-awareness</t>
  </si>
  <si>
    <t xml:space="preserve">select; sequence; gauge; hold; track; drag</t>
  </si>
  <si>
    <t xml:space="preserve">credit-report-reading</t>
  </si>
  <si>
    <t xml:space="preserve">SmartCiti.X~ Credit Report Reading VR</t>
  </si>
  <si>
    <t xml:space="preserve">select; find; hold; gauge; sequence; drag; turn; track</t>
  </si>
  <si>
    <t xml:space="preserve">creosote-pile-removal</t>
  </si>
  <si>
    <t xml:space="preserve">SmartCiti.X~ Creosote Pile Removal VR</t>
  </si>
  <si>
    <t xml:space="preserve">select; sequence; drag; find; turn; track; gauge; hold</t>
  </si>
  <si>
    <t xml:space="preserve">crisis-communication-podium</t>
  </si>
  <si>
    <t xml:space="preserve">SmartCiti.X~ Crisis Communication Podium VR</t>
  </si>
  <si>
    <t xml:space="preserve">find; select; turn; sequence; gauge; hold; drag; track</t>
  </si>
  <si>
    <t xml:space="preserve">crisis-intervention-call</t>
  </si>
  <si>
    <t xml:space="preserve">SmartCiti.X~ Crisis Intervention Call VR</t>
  </si>
  <si>
    <t xml:space="preserve">find; gauge; turn; select; track; sequence; hold; drag</t>
  </si>
  <si>
    <t xml:space="preserve">crisis-line-shift</t>
  </si>
  <si>
    <t xml:space="preserve">SmartCiti.X~ Crisis Line Shift VR</t>
  </si>
  <si>
    <t xml:space="preserve">drag; find; select; sequence; track; hold; gauge; turn</t>
  </si>
  <si>
    <t xml:space="preserve">critical-incident-debrief</t>
  </si>
  <si>
    <t xml:space="preserve">SmartCiti.X~ Critical Incident Debrief VR</t>
  </si>
  <si>
    <t xml:space="preserve">find; gauge; turn; drag; select; sequence; track; hold</t>
  </si>
  <si>
    <t xml:space="preserve">cs-non-entry-retrieval-and-tripod</t>
  </si>
  <si>
    <t xml:space="preserve">SmartCiti.X~ Non-Entry Retrieval &amp; Tripod VR</t>
  </si>
  <si>
    <t xml:space="preserve">select; find; drag; sequence; hold; track; turn</t>
  </si>
  <si>
    <t xml:space="preserve">cs-permit-entry-and-attendant-duties</t>
  </si>
  <si>
    <t xml:space="preserve">SmartCiti.X~ Permit Entry &amp; Attendant Duties VR</t>
  </si>
  <si>
    <t xml:space="preserve">select; find; sequence; gauge; drag; track; hold</t>
  </si>
  <si>
    <t xml:space="preserve">cs-ventilation-and-air-monitoring-plan</t>
  </si>
  <si>
    <t xml:space="preserve">SmartCiti.X~ Ventilation &amp; Air Monitoring Plan VR</t>
  </si>
  <si>
    <t xml:space="preserve">select; find; drag; turn; sequence; hold; gauge; track</t>
  </si>
  <si>
    <t xml:space="preserve">cutoff-overservice</t>
  </si>
  <si>
    <t xml:space="preserve">SmartCiti.X~ Cut-Off / Overservice VR</t>
  </si>
  <si>
    <t xml:space="preserve">select; find; gauge; turn; hold; sequence; drag</t>
  </si>
  <si>
    <t xml:space="preserve">cutting-table-rotary</t>
  </si>
  <si>
    <t xml:space="preserve">SmartCiti.X~ Cutting Table and Rotary Knife VR</t>
  </si>
  <si>
    <t xml:space="preserve">select; drag; gauge; track; sequence; turn; find</t>
  </si>
  <si>
    <t xml:space="preserve">cv-difficult-conversation-across-difference</t>
  </si>
  <si>
    <t xml:space="preserve">SmartCiti.X~ Difficult Conversation Across Difference VR</t>
  </si>
  <si>
    <t xml:space="preserve">select; gauge; find; sequence; hold; turn; track; drag</t>
  </si>
  <si>
    <t xml:space="preserve">cv-grant-application-and-nonprofit-compliance</t>
  </si>
  <si>
    <t xml:space="preserve">SmartCiti.X~ Grant Application and Nonprofit Compliance VR</t>
  </si>
  <si>
    <t xml:space="preserve">find; select; sequence; gauge; drag; hold; turn; track</t>
  </si>
  <si>
    <t xml:space="preserve">cv-neighborhood-emergency-block-captain</t>
  </si>
  <si>
    <t xml:space="preserve">SmartCiti.X~ Neighborhood Emergency Block Captain VR</t>
  </si>
  <si>
    <t xml:space="preserve">find; select; sequence; turn; drag; hold; gauge; track</t>
  </si>
  <si>
    <t xml:space="preserve">cv-open-meeting-law-and-agenda-notice</t>
  </si>
  <si>
    <t xml:space="preserve">SmartCiti.X~ Open Meeting Law and Agenda Notice VR</t>
  </si>
  <si>
    <t xml:space="preserve">find; gauge; drag; select; turn; hold; sequence; track</t>
  </si>
  <si>
    <t xml:space="preserve">cv-restorative-justice-circle-facilitation</t>
  </si>
  <si>
    <t xml:space="preserve">SmartCiti.X~ Restorative Justice Circle VR</t>
  </si>
  <si>
    <t xml:space="preserve">find; select; turn; sequence; hold; gauge; track; drag</t>
  </si>
  <si>
    <t xml:space="preserve">cv-voter-registration-drive-and-nonpartisan-conduct</t>
  </si>
  <si>
    <t xml:space="preserve">SmartCiti.X~ Voter Registration Drive VR</t>
  </si>
  <si>
    <t xml:space="preserve">find; drag; select; sequence; hold; gauge; turn; track</t>
  </si>
  <si>
    <t xml:space="preserve">damage-assessment-team</t>
  </si>
  <si>
    <t xml:space="preserve">SmartCiti.X~ Damage Assessment Team VR</t>
  </si>
  <si>
    <t xml:space="preserve">data-hall</t>
  </si>
  <si>
    <t xml:space="preserve">SmartCiti.X~ Data Hall VR</t>
  </si>
  <si>
    <t xml:space="preserve">select; sequence; gauge; drag; hold; turn; find</t>
  </si>
  <si>
    <t xml:space="preserve">debt-reduction-plan</t>
  </si>
  <si>
    <t xml:space="preserve">SmartCiti.X~ Debt Reduction Plan VR</t>
  </si>
  <si>
    <t xml:space="preserve">select; find; gauge; hold; drag; sequence; turn; track</t>
  </si>
  <si>
    <t xml:space="preserve">deck-joint-replacement</t>
  </si>
  <si>
    <t xml:space="preserve">SmartCiti.X~ Deck Joint Replacement VR</t>
  </si>
  <si>
    <t xml:space="preserve">select; sequence; track; drag; find; turn; gauge; hold</t>
  </si>
  <si>
    <t xml:space="preserve">decon-line</t>
  </si>
  <si>
    <t xml:space="preserve">SmartCiti.X~ Decon Line VR</t>
  </si>
  <si>
    <t xml:space="preserve">hazmat-environmental; hunters-point-bay-restoration; outbreak-response-who</t>
  </si>
  <si>
    <t xml:space="preserve">select; sequence; drag; turn; track; gauge; find</t>
  </si>
  <si>
    <t xml:space="preserve">decon-support-laborer</t>
  </si>
  <si>
    <t xml:space="preserve">SmartCiti.X~ Decon Support Laborer VR</t>
  </si>
  <si>
    <t xml:space="preserve">select; sequence; find; turn; gauge; hold; track; drag</t>
  </si>
  <si>
    <t xml:space="preserve">dental-careers-pathway</t>
  </si>
  <si>
    <t xml:space="preserve">SmartCiti.X~ Dental Careers Pathway VR</t>
  </si>
  <si>
    <t xml:space="preserve">select; sequence; hold; find; turn; drag; gauge; track</t>
  </si>
  <si>
    <t xml:space="preserve">dental-lab-bench</t>
  </si>
  <si>
    <t xml:space="preserve">SmartCiti.X~ Dental Laboratory Bench VR</t>
  </si>
  <si>
    <t xml:space="preserve">select; hold; gauge; track; turn; drag; sequence; find</t>
  </si>
  <si>
    <t xml:space="preserve">dental-radiography-fmx</t>
  </si>
  <si>
    <t xml:space="preserve">SmartCiti.X~ Full-Mouth Radiographic Series VR</t>
  </si>
  <si>
    <t xml:space="preserve">sequence; select; drag; gauge; turn; hold; track; find</t>
  </si>
  <si>
    <t xml:space="preserve">denture-delivery-and-adjustment</t>
  </si>
  <si>
    <t xml:space="preserve">SmartCiti.X~ Denture Delivery &amp; Adjustment VR</t>
  </si>
  <si>
    <t xml:space="preserve">select; find; hold; sequence; gauge; track; turn; drag</t>
  </si>
  <si>
    <t xml:space="preserve">digester-gas</t>
  </si>
  <si>
    <t xml:space="preserve">SmartCiti.X~ Digester Gas VR</t>
  </si>
  <si>
    <t xml:space="preserve">select; sequence; drag; hold; gauge; turn; find</t>
  </si>
  <si>
    <t xml:space="preserve">discharge-photo-doc</t>
  </si>
  <si>
    <t xml:space="preserve">SmartCiti.X~ Discharge Photo Doc VR</t>
  </si>
  <si>
    <t xml:space="preserve">select; sequence; gauge; hold; drag; find</t>
  </si>
  <si>
    <t xml:space="preserve">dish-pit</t>
  </si>
  <si>
    <t xml:space="preserve">SmartCiti.X~ Dish Pit VR</t>
  </si>
  <si>
    <t xml:space="preserve">select; find; sequence; gauge; hold; drag</t>
  </si>
  <si>
    <t xml:space="preserve">dn-dental-coding-billing-and-preauthorisation</t>
  </si>
  <si>
    <t xml:space="preserve">SmartCiti.X~ Dental Coding, Billing &amp; Pre-authorisation VR</t>
  </si>
  <si>
    <t xml:space="preserve">sequence; find; select; gauge; drag; hold; track; turn</t>
  </si>
  <si>
    <t xml:space="preserve">dn-dental-trauma-and-avulsed-tooth-response</t>
  </si>
  <si>
    <t xml:space="preserve">SmartCiti.X~ Dental Trauma &amp; Avulsed Tooth Response VR</t>
  </si>
  <si>
    <t xml:space="preserve">sequence; select; find; gauge; turn; drag; hold; track</t>
  </si>
  <si>
    <t xml:space="preserve">dn-digital-intraoral-scanning-and-cad-cam</t>
  </si>
  <si>
    <t xml:space="preserve">SmartCiti.X~ Digital Intraoral Scanning &amp; CAD/CAM VR</t>
  </si>
  <si>
    <t xml:space="preserve">select; find; gauge; track; sequence; drag; turn; hold</t>
  </si>
  <si>
    <t xml:space="preserve">dn-medical-history-and-medication-review</t>
  </si>
  <si>
    <t xml:space="preserve">SmartCiti.X~ Medical History &amp; Medication Review VR</t>
  </si>
  <si>
    <t xml:space="preserve">turn; sequence; find; select; hold; track; drag; gauge</t>
  </si>
  <si>
    <t xml:space="preserve">dn-oral-hygiene-instruction-and-motivational-interviewing</t>
  </si>
  <si>
    <t xml:space="preserve">SmartCiti.X~ Oral Hygiene Instruction &amp; Motivational Interviewing VR</t>
  </si>
  <si>
    <t xml:space="preserve">turn; sequence; hold; find; gauge; select; drag; track</t>
  </si>
  <si>
    <t xml:space="preserve">dn-public-health-dentistry-and-fluoridation-advocacy</t>
  </si>
  <si>
    <t xml:space="preserve">SmartCiti.X~ Public Health Dentistry &amp; Fluoridation Advocacy VR</t>
  </si>
  <si>
    <t xml:space="preserve">find; sequence; gauge; select; hold; turn; track; drag</t>
  </si>
  <si>
    <t xml:space="preserve">dock-crane</t>
  </si>
  <si>
    <t xml:space="preserve">SmartCiti.X~ Dock Crane VR</t>
  </si>
  <si>
    <t xml:space="preserve">port-operations; ports-maritime-ecology; rigging-lifting; situational-awareness</t>
  </si>
  <si>
    <t xml:space="preserve">select; gauge; sequence; find; track; hold</t>
  </si>
  <si>
    <t xml:space="preserve">draught-line-cleaning</t>
  </si>
  <si>
    <t xml:space="preserve">SmartCiti.X~ Draught Line Cleaning VR</t>
  </si>
  <si>
    <t xml:space="preserve">find; sequence; select; turn; hold; track; gauge</t>
  </si>
  <si>
    <t xml:space="preserve">dredge-barge</t>
  </si>
  <si>
    <t xml:space="preserve">SmartCiti.X~ Dredge Barge VR</t>
  </si>
  <si>
    <t xml:space="preserve">select; gauge; sequence; drag; find; turn; track; hold</t>
  </si>
  <si>
    <t xml:space="preserve">drive-backing-serpentine-and-alley-dock</t>
  </si>
  <si>
    <t xml:space="preserve">SmartCiti.X~ Backing Serpentine and Alley Dock VR</t>
  </si>
  <si>
    <t xml:space="preserve">select; sequence; drive; find; drag; turn; gauge; hold</t>
  </si>
  <si>
    <t xml:space="preserve">drive-city-route-and-turns</t>
  </si>
  <si>
    <t xml:space="preserve">SmartCiti.X~ City Route and Turns VR</t>
  </si>
  <si>
    <t xml:space="preserve">select; sequence; drive; find; gauge; hold; turn; track; drag</t>
  </si>
  <si>
    <t xml:space="preserve">drive-freeway-merge-and-following-distance</t>
  </si>
  <si>
    <t xml:space="preserve">SmartCiti.X~ Freeway Merge and Following Distance VR</t>
  </si>
  <si>
    <t xml:space="preserve">select; sequence; turn; drive; gauge; find; hold; track; drag</t>
  </si>
  <si>
    <t xml:space="preserve">drive-light-vehicle-fleet-and-forklift-course</t>
  </si>
  <si>
    <t xml:space="preserve">SmartCiti.X~ Light Vehicle Fleet and Forklift Course VR</t>
  </si>
  <si>
    <t xml:space="preserve">select; find; drive; hold; sequence; gauge; track; drag</t>
  </si>
  <si>
    <t xml:space="preserve">drive-mountain-grade-and-engine-brake</t>
  </si>
  <si>
    <t xml:space="preserve">SmartCiti.X~ Mountain Grade and Engine Brake VR</t>
  </si>
  <si>
    <t xml:space="preserve">select; sequence; drive; gauge; track; find; hold; turn</t>
  </si>
  <si>
    <t xml:space="preserve">drive-night-fog-and-rail-crossing</t>
  </si>
  <si>
    <t xml:space="preserve">SmartCiti.X~ Night Fog and Rail Crossing VR</t>
  </si>
  <si>
    <t xml:space="preserve">select; sequence; drive; turn; gauge; hold; find; track; drag</t>
  </si>
  <si>
    <t xml:space="preserve">drum-sampling-and-overpack</t>
  </si>
  <si>
    <t xml:space="preserve">SmartCiti.X~ Drum Sampling &amp; Overpack VR</t>
  </si>
  <si>
    <t xml:space="preserve">select; sequence; find; gauge; drag; turn; hold; track</t>
  </si>
  <si>
    <t xml:space="preserve">dust-plan-review</t>
  </si>
  <si>
    <t xml:space="preserve">SmartCiti.X~ Dust Plan Review VR</t>
  </si>
  <si>
    <t xml:space="preserve">select; drag; gauge; sequence; track; hold; find; turn</t>
  </si>
  <si>
    <t xml:space="preserve">ed-boiler-room-filter-change-lockout</t>
  </si>
  <si>
    <t xml:space="preserve">SmartCiti.X~ Boiler Room &amp; HVAC Filter Change with Lockout VR</t>
  </si>
  <si>
    <t xml:space="preserve">select; gauge; find; sequence; hold; turn; drag; track</t>
  </si>
  <si>
    <t xml:space="preserve">ed-bus-pretrip-and-loading-zone</t>
  </si>
  <si>
    <t xml:space="preserve">SmartCiti.X~ Bus Pre-Trip &amp; Loading Zone VR</t>
  </si>
  <si>
    <t xml:space="preserve">select; find; sequence; gauge; drive; hold; turn</t>
  </si>
  <si>
    <t xml:space="preserve">ed-crossing-guard-intersection-control</t>
  </si>
  <si>
    <t xml:space="preserve">SmartCiti.X~ Crossing Guard Intersection Control VR</t>
  </si>
  <si>
    <t xml:space="preserve">select; sequence; find; gauge; turn; hold; track; drag</t>
  </si>
  <si>
    <t xml:space="preserve">ed-custodial-chemical-dilution-and-floor-machine</t>
  </si>
  <si>
    <t xml:space="preserve">SmartCiti.X~ Custodial Chemical Dilution &amp; Floor Machine VR</t>
  </si>
  <si>
    <t xml:space="preserve">select; sequence; gauge; hold; find; drag; turn; track</t>
  </si>
  <si>
    <t xml:space="preserve">ed-kitchen-receiving-and-warewash-sanitizing</t>
  </si>
  <si>
    <t xml:space="preserve">SmartCiti.X~ Kitchen Receiving &amp; Warewash Sanitizing VR</t>
  </si>
  <si>
    <t xml:space="preserve">select; gauge; find; drag; sequence; turn; hold; track</t>
  </si>
  <si>
    <t xml:space="preserve">ed-paraeducator-safe-lift-and-transfer</t>
  </si>
  <si>
    <t xml:space="preserve">SmartCiti.X~ Paraeducator Safe Lift &amp; Transfer VR</t>
  </si>
  <si>
    <t xml:space="preserve">select; sequence; hold; find; track; drag; turn</t>
  </si>
  <si>
    <t xml:space="preserve">ed-playground-equipment-inspection</t>
  </si>
  <si>
    <t xml:space="preserve">SmartCiti.X~ Playground Equipment Inspection VR</t>
  </si>
  <si>
    <t xml:space="preserve">select; find; gauge; turn; hold; track; drag; sequence</t>
  </si>
  <si>
    <t xml:space="preserve">ed-science-lab-chemical-storage-and-eyewash</t>
  </si>
  <si>
    <t xml:space="preserve">SmartCiti.X~ Science Lab Chemical Storage &amp; Eyewash Check VR</t>
  </si>
  <si>
    <t xml:space="preserve">select; find; sequence; gauge; turn; track; drag; hold</t>
  </si>
  <si>
    <t xml:space="preserve">eelgrass-transplant</t>
  </si>
  <si>
    <t xml:space="preserve">SmartCiti.X~ Eelgrass Transplant VR</t>
  </si>
  <si>
    <t xml:space="preserve">select; gauge; sequence; hold; track; turn; find</t>
  </si>
  <si>
    <t xml:space="preserve">elevator-pit</t>
  </si>
  <si>
    <t xml:space="preserve">SmartCiti.X~ Elevator Pit VR</t>
  </si>
  <si>
    <t xml:space="preserve">situational-awareness; stationary-engineer</t>
  </si>
  <si>
    <t xml:space="preserve">select; turn; gauge; find; hold; sequence</t>
  </si>
  <si>
    <t xml:space="preserve">emergency-savings-and-predatory-lending</t>
  </si>
  <si>
    <t xml:space="preserve">SmartCiti.X~ Emergency Savings &amp; Predatory Lending VR</t>
  </si>
  <si>
    <t xml:space="preserve">select; gauge; track; drag; find; hold; sequence; turn</t>
  </si>
  <si>
    <t xml:space="preserve">endodontic-assisting</t>
  </si>
  <si>
    <t xml:space="preserve">SmartCiti.X~ Endodontic Assisting VR</t>
  </si>
  <si>
    <t xml:space="preserve">select; sequence; find; gauge; hold; turn; track; drag</t>
  </si>
  <si>
    <t xml:space="preserve">et-ev-fleet-depot-charging-and-arc-flash</t>
  </si>
  <si>
    <t xml:space="preserve">SmartCiti.X~ EV Fleet Depot Charging &amp; Arc Flash VR VR</t>
  </si>
  <si>
    <t xml:space="preserve">ethics-and-conflict-of-interest</t>
  </si>
  <si>
    <t xml:space="preserve">SmartCiti.X~ Ethics and Conflict of Interest VR</t>
  </si>
  <si>
    <t xml:space="preserve">find; select; gauge; drag; turn; sequence; hold; track</t>
  </si>
  <si>
    <t xml:space="preserve">ev-extrication</t>
  </si>
  <si>
    <t xml:space="preserve">SmartCiti.X~ EV Extrication VR</t>
  </si>
  <si>
    <t xml:space="preserve">select; drag; sequence; turn; hold; track; gauge; find</t>
  </si>
  <si>
    <t xml:space="preserve">ew-car-top-inspection-station-and-ride</t>
  </si>
  <si>
    <t xml:space="preserve">SmartCiti.X~ Car Top Inspection Station and Ride VR</t>
  </si>
  <si>
    <t xml:space="preserve">select; gauge; find; turn; track; sequence</t>
  </si>
  <si>
    <t xml:space="preserve">ew-door-operator-adjustment-and-gap</t>
  </si>
  <si>
    <t xml:space="preserve">SmartCiti.X~ Door Operator Adjustment and Gap VR</t>
  </si>
  <si>
    <t xml:space="preserve">ew-elevator-entrapment-and-rescue-with-fire-service</t>
  </si>
  <si>
    <t xml:space="preserve">SmartCiti.X~ Elevator Entrapment and Rescue with Fire Service VR</t>
  </si>
  <si>
    <t xml:space="preserve">select; find; gauge; turn; track; drag; sequence</t>
  </si>
  <si>
    <t xml:space="preserve">ew-escalator-step-chain-and-comb-plate</t>
  </si>
  <si>
    <t xml:space="preserve">SmartCiti.X~ Escalator Step Chain and Comb Plate VR</t>
  </si>
  <si>
    <t xml:space="preserve">select; turn; gauge; find; drag; sequence</t>
  </si>
  <si>
    <t xml:space="preserve">ew-hoistway-false-car-and-rail-setting</t>
  </si>
  <si>
    <t xml:space="preserve">SmartCiti.X~ Hoistway False Car and Rail Setting VR</t>
  </si>
  <si>
    <t xml:space="preserve">select; sequence; gauge; drag; turn; find; hold</t>
  </si>
  <si>
    <t xml:space="preserve">ew-machine-room-lockout-and-brake-test</t>
  </si>
  <si>
    <t xml:space="preserve">SmartCiti.X~ Machine Room Lockout and Brake Test VR</t>
  </si>
  <si>
    <t xml:space="preserve">ew-pit-work-and-buffer-inspection</t>
  </si>
  <si>
    <t xml:space="preserve">SmartCiti.X~ Pit Work and Buffer Inspection VR</t>
  </si>
  <si>
    <t xml:space="preserve">select; turn; find; gauge; drag; sequence</t>
  </si>
  <si>
    <t xml:space="preserve">ew-rope-inspection-and-sheave-wear</t>
  </si>
  <si>
    <t xml:space="preserve">SmartCiti.X~ Rope Inspection and Sheave Wear VR</t>
  </si>
  <si>
    <t xml:space="preserve">fenceline-dust-monitor</t>
  </si>
  <si>
    <t xml:space="preserve">SmartCiti.X~ Fenceline Dust Monitor VR</t>
  </si>
  <si>
    <t xml:space="preserve">select; drag; gauge; sequence; turn; hold; track; find</t>
  </si>
  <si>
    <t xml:space="preserve">fire-pump</t>
  </si>
  <si>
    <t xml:space="preserve">SmartCiti.X~ Fire Pump VR</t>
  </si>
  <si>
    <t xml:space="preserve">select; gauge; sequence; turn; hold; find</t>
  </si>
  <si>
    <t xml:space="preserve">firefighter-rehab-sector</t>
  </si>
  <si>
    <t xml:space="preserve">SmartCiti.X~ Firefighter Rehab Sector VR</t>
  </si>
  <si>
    <t xml:space="preserve">first-period-evaluation</t>
  </si>
  <si>
    <t xml:space="preserve">SmartCiti.X~ First-Period Evaluation VR</t>
  </si>
  <si>
    <t xml:space="preserve">select; find; hold; gauge; turn; track; drag; sequence</t>
  </si>
  <si>
    <t xml:space="preserve">flight-deck</t>
  </si>
  <si>
    <t xml:space="preserve">SmartCiti.X~ Flight Deck VR</t>
  </si>
  <si>
    <t xml:space="preserve">select; sequence; find; drag; gauge; hold</t>
  </si>
  <si>
    <t xml:space="preserve">fluoride-and-sealants</t>
  </si>
  <si>
    <t xml:space="preserve">SmartCiti.X~ Fluoride and Sealants VR</t>
  </si>
  <si>
    <t xml:space="preserve">select; gauge; sequence; track; hold; find</t>
  </si>
  <si>
    <t xml:space="preserve">fly-system</t>
  </si>
  <si>
    <t xml:space="preserve">SmartCiti.X~ Fly System VR</t>
  </si>
  <si>
    <t xml:space="preserve">select; sequence; track; gauge; find</t>
  </si>
  <si>
    <t xml:space="preserve">forklift-dock</t>
  </si>
  <si>
    <t xml:space="preserve">SmartCiti.X~ Forklift Dock VR</t>
  </si>
  <si>
    <t xml:space="preserve">job-readiness-edition; situational-awareness; transit-ramp; wojrc-pathway-edition</t>
  </si>
  <si>
    <t xml:space="preserve">select; sequence; drag; gauge; track; find</t>
  </si>
  <si>
    <t xml:space="preserve">formwork-shoring</t>
  </si>
  <si>
    <t xml:space="preserve">SmartCiti.X~ Formwork Shoring VR</t>
  </si>
  <si>
    <t xml:space="preserve">select; sequence; drag; turn; gauge; find; track</t>
  </si>
  <si>
    <t xml:space="preserve">four-handed-dentistry</t>
  </si>
  <si>
    <t xml:space="preserve">SmartCiti.X~ Four-Handed Dentistry VR</t>
  </si>
  <si>
    <t xml:space="preserve">select; sequence; turn; gauge; hold; drag; track; find</t>
  </si>
  <si>
    <t xml:space="preserve">fp-anchor-selection-and-rescue-plan</t>
  </si>
  <si>
    <t xml:space="preserve">SmartCiti.X~ Anchor Selection &amp; Rescue Plan VR VR</t>
  </si>
  <si>
    <t xml:space="preserve">select; sequence; find; turn; track; gauge; drag; hold</t>
  </si>
  <si>
    <t xml:space="preserve">front-office-treatment-coordination</t>
  </si>
  <si>
    <t xml:space="preserve">SmartCiti.X~ Front Office &amp; Treatment Coordination VR</t>
  </si>
  <si>
    <t xml:space="preserve">find; turn; select; hold; drag; sequence; gauge; track</t>
  </si>
  <si>
    <t xml:space="preserve">fryer-oil-change</t>
  </si>
  <si>
    <t xml:space="preserve">SmartCiti.X~ Fryer Oil Change VR</t>
  </si>
  <si>
    <t xml:space="preserve">select; gauge; sequence; turn; hold; find; drag; track</t>
  </si>
  <si>
    <t xml:space="preserve">garden-soil-screen</t>
  </si>
  <si>
    <t xml:space="preserve">SmartCiti.X~ Garden Soil Screen VR</t>
  </si>
  <si>
    <t xml:space="preserve">garment-inspection-finish</t>
  </si>
  <si>
    <t xml:space="preserve">SmartCiti.X~ Garment Inspection &amp; Finish VR</t>
  </si>
  <si>
    <t xml:space="preserve">select; find; gauge; track; hold; drag; sequence</t>
  </si>
  <si>
    <t xml:space="preserve">gas-leak-survey</t>
  </si>
  <si>
    <t xml:space="preserve">SmartCiti.X~ Gas Leak Survey VR</t>
  </si>
  <si>
    <t xml:space="preserve">select; sequence; hold; find; gauge; drag; turn; track</t>
  </si>
  <si>
    <t xml:space="preserve">gg-deck-lane-closure-and-traveller</t>
  </si>
  <si>
    <t xml:space="preserve">SmartCiti.X~ Deck Lane Closure &amp; Traveller VR</t>
  </si>
  <si>
    <t xml:space="preserve">select; sequence; gauge; drag; hold; find; turn; track</t>
  </si>
  <si>
    <t xml:space="preserve">gg-fog-and-wind-work-stop</t>
  </si>
  <si>
    <t xml:space="preserve">SmartCiti.X~ Fog &amp; Wind Work Stop VR</t>
  </si>
  <si>
    <t xml:space="preserve">select; gauge; sequence; find; hold; drag; turn; track</t>
  </si>
  <si>
    <t xml:space="preserve">gg-international-orange-recoat</t>
  </si>
  <si>
    <t xml:space="preserve">SmartCiti.X~ International Orange Recoat VR</t>
  </si>
  <si>
    <t xml:space="preserve">select; sequence; gauge; find; hold; turn; drag; track</t>
  </si>
  <si>
    <t xml:space="preserve">gg-main-cable-band-inspection</t>
  </si>
  <si>
    <t xml:space="preserve">SmartCiti.X~ Main Cable Band Inspection VR</t>
  </si>
  <si>
    <t xml:space="preserve">gg-paint-containment-on-the-deck</t>
  </si>
  <si>
    <t xml:space="preserve">SmartCiti.X~ Paint Containment on the Deck VR</t>
  </si>
  <si>
    <t xml:space="preserve">select; sequence; drag; find; turn; gauge; hold; track</t>
  </si>
  <si>
    <t xml:space="preserve">gg-pile-driver-fender-repair</t>
  </si>
  <si>
    <t xml:space="preserve">SmartCiti.X~ Pile Driver Fender Repair VR</t>
  </si>
  <si>
    <t xml:space="preserve">gg-suspender-rope-replacement</t>
  </si>
  <si>
    <t xml:space="preserve">SmartCiti.X~ Suspender Rope Replacement VR</t>
  </si>
  <si>
    <t xml:space="preserve">gg-tower-climb-and-tie-off</t>
  </si>
  <si>
    <t xml:space="preserve">SmartCiti.X~ Tower Climb &amp; Tie-Off VR</t>
  </si>
  <si>
    <t xml:space="preserve">select; sequence; find; gauge; track; hold; drag; turn</t>
  </si>
  <si>
    <t xml:space="preserve">gk-bunker-renovation-and-drainage</t>
  </si>
  <si>
    <t xml:space="preserve">SmartCiti.X~ Bunker Renovation &amp; Drainage VR</t>
  </si>
  <si>
    <t xml:space="preserve">Grounds &amp; Landscaping</t>
  </si>
  <si>
    <t xml:space="preserve">select; sequence; find; hold; turn; gauge; drag; track</t>
  </si>
  <si>
    <t xml:space="preserve">gk-chainsaw-start-and-limbing-on-the-ground</t>
  </si>
  <si>
    <t xml:space="preserve">SmartCiti.X~ Chainsaw Start &amp; Limbing on the Ground VR</t>
  </si>
  <si>
    <t xml:space="preserve">sequence; select; find; turn; hold; track; drag; gauge</t>
  </si>
  <si>
    <t xml:space="preserve">gk-greenhouse-nursery-chemical-storage-and-eyewash</t>
  </si>
  <si>
    <t xml:space="preserve">SmartCiti.X~ Greenhouse &amp; Nursery Chemical Storage and Eyewash VR</t>
  </si>
  <si>
    <t xml:space="preserve">gk-greens-mowing-and-hole-changing</t>
  </si>
  <si>
    <t xml:space="preserve">SmartCiti.X~ Greens Mowing &amp; Hole Changing VR</t>
  </si>
  <si>
    <t xml:space="preserve">sequence; select; find; drive; turn; gauge; hold; drag</t>
  </si>
  <si>
    <t xml:space="preserve">gk-hardscape-paver-base-and-compaction</t>
  </si>
  <si>
    <t xml:space="preserve">SmartCiti.X~ Hardscape Paver Base &amp; Compaction VR</t>
  </si>
  <si>
    <t xml:space="preserve">select; sequence; find; drag; turn; hold; gauge; track</t>
  </si>
  <si>
    <t xml:space="preserve">gk-irrigation-controller-valve-box-and-backflow-check</t>
  </si>
  <si>
    <t xml:space="preserve">SmartCiti.X~ Irrigation Controller, Valve Box &amp; Backflow Check VR</t>
  </si>
  <si>
    <t xml:space="preserve">select; sequence; find; turn; drag; gauge; hold; track</t>
  </si>
  <si>
    <t xml:space="preserve">gk-pesticide-and-fertilizer-application-per-the-label</t>
  </si>
  <si>
    <t xml:space="preserve">SmartCiti.X~ Pesticide &amp; Fertilizer Application VR</t>
  </si>
  <si>
    <t xml:space="preserve">select; sequence; drag; turn; gauge; find; hold; track</t>
  </si>
  <si>
    <t xml:space="preserve">gk-ride-on-mower-pre-start-and-slope-work</t>
  </si>
  <si>
    <t xml:space="preserve">SmartCiti.X~ Ride-On Mower Pre-Start &amp; Slope Work VR</t>
  </si>
  <si>
    <t xml:space="preserve">sequence; select; find; turn; drive; track; gauge; hold</t>
  </si>
  <si>
    <t xml:space="preserve">gk-sports-field-line-marking-and-goal-anchoring</t>
  </si>
  <si>
    <t xml:space="preserve">SmartCiti.X~ Sports-Field Line Marking &amp; Goal Anchoring VR</t>
  </si>
  <si>
    <t xml:space="preserve">select; sequence; find; drag; drive; gauge; turn; hold</t>
  </si>
  <si>
    <t xml:space="preserve">gk-storm-cleanup-chipper-and-traffic-control</t>
  </si>
  <si>
    <t xml:space="preserve">SmartCiti.X~ Storm Cleanup: Chipper &amp; Traffic Control VR</t>
  </si>
  <si>
    <t xml:space="preserve">select; sequence; find; turn; hold; track; drag; gauge</t>
  </si>
  <si>
    <t xml:space="preserve">gk-string-trimmer-and-blower-ppe-and-bystander-zone</t>
  </si>
  <si>
    <t xml:space="preserve">SmartCiti.X~ Trimmer &amp; Blower PPE and Bystander Zone VR</t>
  </si>
  <si>
    <t xml:space="preserve">sequence; select; find; hold; drag; turn; track; gauge</t>
  </si>
  <si>
    <t xml:space="preserve">gk-tree-work-pole-saw-and-drop-zone</t>
  </si>
  <si>
    <t xml:space="preserve">SmartCiti.X~ Tree Work: Pole Saw &amp; Drop Zone VR</t>
  </si>
  <si>
    <t xml:space="preserve">sequence; select; find; turn; gauge; drag; hold; track</t>
  </si>
  <si>
    <t xml:space="preserve">gl-aluminium-panel-fabrication-and-brake</t>
  </si>
  <si>
    <t xml:space="preserve">SmartCiti.X~ Aluminium Panel Fabrication And Brake VR</t>
  </si>
  <si>
    <t xml:space="preserve">select; sequence; find; turn; drag; hold; track; gauge</t>
  </si>
  <si>
    <t xml:space="preserve">gl-curtain-wall-unit-setting-from-the-floor</t>
  </si>
  <si>
    <t xml:space="preserve">SmartCiti.X~ Curtain Wall Unit Setting From The Floor VR</t>
  </si>
  <si>
    <t xml:space="preserve">select; gauge; sequence; find; drag; turn; hold; track</t>
  </si>
  <si>
    <t xml:space="preserve">gl-glass-handling-cart-and-crane-vacuum-lifter</t>
  </si>
  <si>
    <t xml:space="preserve">SmartCiti.X~ Glass Handling Cart And Crane Vacuum Lifter VR</t>
  </si>
  <si>
    <t xml:space="preserve">select; gauge; sequence; find; turn; drag; hold</t>
  </si>
  <si>
    <t xml:space="preserve">gl-shop-drawing-takeoff-and-field-measure</t>
  </si>
  <si>
    <t xml:space="preserve">SmartCiti.X~ Shop Drawing Takeoff And Field Measure VR</t>
  </si>
  <si>
    <t xml:space="preserve">select; gauge; sequence; find; turn; drag; hold; track</t>
  </si>
  <si>
    <t xml:space="preserve">gl-skylight-glass-replacement-and-fall-protection</t>
  </si>
  <si>
    <t xml:space="preserve">SmartCiti.X~ Skylight Glass Replacement And Fall Protection VR</t>
  </si>
  <si>
    <t xml:space="preserve">gl-storefront-frame-and-glass-set-with-cups</t>
  </si>
  <si>
    <t xml:space="preserve">SmartCiti.X~ Storefront Frame And Glass Set With Cups VR</t>
  </si>
  <si>
    <t xml:space="preserve">select; gauge; sequence; find; drag; hold; turn; track</t>
  </si>
  <si>
    <t xml:space="preserve">gl-swing-stage-glazing-and-sealant</t>
  </si>
  <si>
    <t xml:space="preserve">SmartCiti.X~ Swing Stage Glazing And Sealant VR</t>
  </si>
  <si>
    <t xml:space="preserve">select; gauge; sequence; find; track; hold; turn; drag</t>
  </si>
  <si>
    <t xml:space="preserve">gl-tempered-glass-breakage-and-cleanup</t>
  </si>
  <si>
    <t xml:space="preserve">SmartCiti.X~ Tempered Glass Breakage And Cleanup VR</t>
  </si>
  <si>
    <t xml:space="preserve">select; gauge; sequence; find; turn; drag; track; hold</t>
  </si>
  <si>
    <t xml:space="preserve">gr-ammonia-leak-alarm-response-cold-plant</t>
  </si>
  <si>
    <t xml:space="preserve">SmartCiti.X~ Ammonia Leak Alarm Response, Cold Plant VR</t>
  </si>
  <si>
    <t xml:space="preserve">select; drag; find; gauge; track; hold; turn; sequence</t>
  </si>
  <si>
    <t xml:space="preserve">gr-checkstand-ergonomics-and-robbery-prevention</t>
  </si>
  <si>
    <t xml:space="preserve">SmartCiti.X~ Checkstand Ergonomics &amp; Robbery Prevention VR</t>
  </si>
  <si>
    <t xml:space="preserve">select; turn; hold; track; find; sequence; drag; gauge</t>
  </si>
  <si>
    <t xml:space="preserve">gr-deli-slicer-sanitation-and-allergen-line</t>
  </si>
  <si>
    <t xml:space="preserve">SmartCiti.X~ Deli Slicer Sanitation &amp; Allergen Line VR</t>
  </si>
  <si>
    <t xml:space="preserve">select; sequence; track; hold; gauge; find; drag; turn</t>
  </si>
  <si>
    <t xml:space="preserve">gr-meat-dept-band-saw-and-grinder-lockout</t>
  </si>
  <si>
    <t xml:space="preserve">SmartCiti.X~ Meat Dept Band Saw &amp; Grinder Lockout VR</t>
  </si>
  <si>
    <t xml:space="preserve">select; sequence; gauge; drag; find; hold</t>
  </si>
  <si>
    <t xml:space="preserve">gr-meatpacking-line-knife-work-and-ppe-rotation</t>
  </si>
  <si>
    <t xml:space="preserve">SmartCiti.X~ Meatpacking Line Knife Work &amp; PPE Rotation VR</t>
  </si>
  <si>
    <t xml:space="preserve">select; sequence; hold; gauge; find; track; turn; drag</t>
  </si>
  <si>
    <t xml:space="preserve">gr-night-stocking-baler-and-compactor-lockout</t>
  </si>
  <si>
    <t xml:space="preserve">SmartCiti.X~ Night Stocking Baler &amp; Compactor Lockout VR</t>
  </si>
  <si>
    <t xml:space="preserve">select; sequence; gauge; track; find; drag; turn</t>
  </si>
  <si>
    <t xml:space="preserve">gr-pharmacy-floral-chemical-handling-and-sds</t>
  </si>
  <si>
    <t xml:space="preserve">SmartCiti.X~ Pharmacy &amp; Floral Chemical Handling and SDS VR</t>
  </si>
  <si>
    <t xml:space="preserve">select; sequence; drag; find; gauge; hold; track; turn</t>
  </si>
  <si>
    <t xml:space="preserve">gr-produce-receiving-cold-chain-and-pallet-jack</t>
  </si>
  <si>
    <t xml:space="preserve">SmartCiti.X~ Produce Receiving, Cold Chain &amp; Pallet Jack VR</t>
  </si>
  <si>
    <t xml:space="preserve">select; gauge; sequence; find; drag; turn; drive</t>
  </si>
  <si>
    <t xml:space="preserve">grain-bin</t>
  </si>
  <si>
    <t xml:space="preserve">SmartCiti.X~ Grain Bin VR</t>
  </si>
  <si>
    <t xml:space="preserve">sequence; track; select; turn; gauge; hold; drag; find</t>
  </si>
  <si>
    <t xml:space="preserve">grease-trap</t>
  </si>
  <si>
    <t xml:space="preserve">SmartCiti.X~ Grease Trap VR</t>
  </si>
  <si>
    <t xml:space="preserve">select; sequence; hold; gauge; find; track; turn</t>
  </si>
  <si>
    <t xml:space="preserve">grill-line-burns</t>
  </si>
  <si>
    <t xml:space="preserve">SmartCiti.X~ Grill Line Burns VR</t>
  </si>
  <si>
    <t xml:space="preserve">select; find; gauge; drag; sequence; hold</t>
  </si>
  <si>
    <t xml:space="preserve">haul-road-dust</t>
  </si>
  <si>
    <t xml:space="preserve">SmartCiti.X~ Haul Road Dust VR</t>
  </si>
  <si>
    <t xml:space="preserve">select; sequence; gauge; turn; track; drag; hold; find</t>
  </si>
  <si>
    <t xml:space="preserve">haul-route-observation</t>
  </si>
  <si>
    <t xml:space="preserve">SmartCiti.X~ Haul Route Observation VR</t>
  </si>
  <si>
    <t xml:space="preserve">hazmat-container-inspection</t>
  </si>
  <si>
    <t xml:space="preserve">SmartCiti.X~ Hazmat Container Inspection VR</t>
  </si>
  <si>
    <t xml:space="preserve">sequence; select; find; hold; track; gauge</t>
  </si>
  <si>
    <t xml:space="preserve">hazmat-entry</t>
  </si>
  <si>
    <t xml:space="preserve">SmartCiti.X~ Hazmat Entry VR</t>
  </si>
  <si>
    <t xml:space="preserve">select; sequence; hold; gauge; find; drag; track</t>
  </si>
  <si>
    <t xml:space="preserve">hazwoper-site-orientation</t>
  </si>
  <si>
    <t xml:space="preserve">SmartCiti.X~ HAZWOPER Site Orientation VR</t>
  </si>
  <si>
    <t xml:space="preserve">select; find; drag; turn; gauge; hold; track; sequence</t>
  </si>
  <si>
    <t xml:space="preserve">hc-code-response-support-and-crash-cart-check</t>
  </si>
  <si>
    <t xml:space="preserve">SmartCiti.X~ Code Response Support &amp; Crash Cart Check VR</t>
  </si>
  <si>
    <t xml:space="preserve">select; find; gauge; sequence; turn; hold; drag</t>
  </si>
  <si>
    <t xml:space="preserve">hc-dietary-tray-line-and-allergy-flags</t>
  </si>
  <si>
    <t xml:space="preserve">SmartCiti.X~ Dietary Tray Line &amp; Allergy Flags VR</t>
  </si>
  <si>
    <t xml:space="preserve">select; find; sequence; gauge; drag; hold; turn</t>
  </si>
  <si>
    <t xml:space="preserve">hc-environmental-services-isolation-room-turnover</t>
  </si>
  <si>
    <t xml:space="preserve">SmartCiti.X~ Isolation Room Turnover VR</t>
  </si>
  <si>
    <t xml:space="preserve">select; find; gauge; sequence; drag; hold</t>
  </si>
  <si>
    <t xml:space="preserve">hc-hazardous-drug-spill-kit-response</t>
  </si>
  <si>
    <t xml:space="preserve">SmartCiti.X~ Hazardous Drug Spill Kit Response VR</t>
  </si>
  <si>
    <t xml:space="preserve">select; sequence; gauge; find; track; drag; turn</t>
  </si>
  <si>
    <t xml:space="preserve">hc-linen-and-regulated-waste-handling</t>
  </si>
  <si>
    <t xml:space="preserve">SmartCiti.X~ Linen &amp; Regulated Waste Handling VR</t>
  </si>
  <si>
    <t xml:space="preserve">hc-patient-transport-and-safe-handling</t>
  </si>
  <si>
    <t xml:space="preserve">SmartCiti.X~ Patient Transport &amp; Safe Handling VR</t>
  </si>
  <si>
    <t xml:space="preserve">select; gauge; sequence; find; turn; hold</t>
  </si>
  <si>
    <t xml:space="preserve">hc-sterile-processing-decontamination-and-assembly</t>
  </si>
  <si>
    <t xml:space="preserve">SmartCiti.X~ Sterile Processing Decon &amp; Assembly VR</t>
  </si>
  <si>
    <t xml:space="preserve">select; sequence; find; hold; gauge; drag; turn</t>
  </si>
  <si>
    <t xml:space="preserve">hc-workplace-violence-deescalation-at-the-desk</t>
  </si>
  <si>
    <t xml:space="preserve">SmartCiti.X~ Workplace Violence De-escalation at the Desk VR</t>
  </si>
  <si>
    <t xml:space="preserve">select; gauge; find; sequence; hold; drag; turn</t>
  </si>
  <si>
    <t xml:space="preserve">hem-and-buttonhole</t>
  </si>
  <si>
    <t xml:space="preserve">SmartCiti.X~ Hem &amp; Buttonhole VR</t>
  </si>
  <si>
    <t xml:space="preserve">select; turn; track; gauge; hold; sequence; find</t>
  </si>
  <si>
    <t xml:space="preserve">home-visit-safety</t>
  </si>
  <si>
    <t xml:space="preserve">SmartCiti.X~ Home Visit Safety VR</t>
  </si>
  <si>
    <t xml:space="preserve">sequence; drag; select; find; turn; hold; track; gauge</t>
  </si>
  <si>
    <t xml:space="preserve">hood-suppression</t>
  </si>
  <si>
    <t xml:space="preserve">SmartCiti.X~ Hood Suppression VR</t>
  </si>
  <si>
    <t xml:space="preserve">select; track; sequence; find; hold; gauge; turn; drag</t>
  </si>
  <si>
    <t xml:space="preserve">hot-tap</t>
  </si>
  <si>
    <t xml:space="preserve">SmartCiti.X~ Hot Tap VR</t>
  </si>
  <si>
    <t xml:space="preserve">select; find; drag; sequence; gauge; turn; track; hold</t>
  </si>
  <si>
    <t xml:space="preserve">housekeeping-room-turn</t>
  </si>
  <si>
    <t xml:space="preserve">SmartCiti.X~ Housekeeping Room Turn VR</t>
  </si>
  <si>
    <t xml:space="preserve">select; hold; sequence; track; drag; turn; find</t>
  </si>
  <si>
    <t xml:space="preserve">hunters-point</t>
  </si>
  <si>
    <t xml:space="preserve">SmartCiti.X~ Hunters Point Briefing VR</t>
  </si>
  <si>
    <t xml:space="preserve">hazmat-environmental; hunters-point-bay-restoration</t>
  </si>
  <si>
    <t xml:space="preserve">hw-banquet-room-flip-and-staging</t>
  </si>
  <si>
    <t xml:space="preserve">SmartCiti.X~ Banquet Room Flip &amp; Staging VR</t>
  </si>
  <si>
    <t xml:space="preserve">select; sequence; drag; find; turn; track; hold; gauge</t>
  </si>
  <si>
    <t xml:space="preserve">hw-flatwork-ironer-and-folder-guarding</t>
  </si>
  <si>
    <t xml:space="preserve">SmartCiti.X~ Flatwork Ironer &amp; Folder Guarding VR</t>
  </si>
  <si>
    <t xml:space="preserve">select; find; sequence; gauge; track; hold; drag; turn</t>
  </si>
  <si>
    <t xml:space="preserve">hw-housekeeping-cart-and-chemical-safety</t>
  </si>
  <si>
    <t xml:space="preserve">SmartCiti.X~ Housekeeping Cart &amp; Chemical Safety VR</t>
  </si>
  <si>
    <t xml:space="preserve">select; turn; hold; sequence; gauge; find; track; drag</t>
  </si>
  <si>
    <t xml:space="preserve">hz-decon-corridor-for-a-mass-casualty-drill</t>
  </si>
  <si>
    <t xml:space="preserve">SmartCiti.X~ Decon Corridor for a Mass-Casualty Drill VR VR</t>
  </si>
  <si>
    <t xml:space="preserve">select; sequence; turn; find; track; gauge; drag</t>
  </si>
  <si>
    <t xml:space="preserve">hz-drum-staging-and-compatibility-segregation</t>
  </si>
  <si>
    <t xml:space="preserve">SmartCiti.X~ Drum Staging &amp; Compatibility Segregation VR VR</t>
  </si>
  <si>
    <t xml:space="preserve">select; sequence; find; drag; gauge; hold; track</t>
  </si>
  <si>
    <t xml:space="preserve">hz-level-b-entry-and-scba-change-out</t>
  </si>
  <si>
    <t xml:space="preserve">SmartCiti.X~ Level B Entry &amp; SCBA Change-Out VR</t>
  </si>
  <si>
    <t xml:space="preserve">select; drag; sequence; hold; gauge; find; turn; track</t>
  </si>
  <si>
    <t xml:space="preserve">ib-asbestos-glovebag-removal-on-a-pipe</t>
  </si>
  <si>
    <t xml:space="preserve">SmartCiti.X~ Asbestos Glovebag Removal on a Pipe VR</t>
  </si>
  <si>
    <t xml:space="preserve">select; find; sequence; gauge; hold; drag; track</t>
  </si>
  <si>
    <t xml:space="preserve">ib-boiler-tube-replacement-and-rolling</t>
  </si>
  <si>
    <t xml:space="preserve">SmartCiti.X~ Boiler Tube Replacement and Rolling VR</t>
  </si>
  <si>
    <t xml:space="preserve">select; gauge; find; sequence; hold; drag; turn; track</t>
  </si>
  <si>
    <t xml:space="preserve">ib-firestop-and-fire-wrap-installation</t>
  </si>
  <si>
    <t xml:space="preserve">SmartCiti.X~ Firestop and Fire Wrap Installation VR</t>
  </si>
  <si>
    <t xml:space="preserve">ib-hydrostatic-test-and-inspector-witness</t>
  </si>
  <si>
    <t xml:space="preserve">SmartCiti.X~ Hydrostatic Test and Inspector Witness VR</t>
  </si>
  <si>
    <t xml:space="preserve">select; sequence; drag; hold; track; gauge; find; turn</t>
  </si>
  <si>
    <t xml:space="preserve">ib-mechanical-insulation-pipe-and-jacketing</t>
  </si>
  <si>
    <t xml:space="preserve">SmartCiti.X~ Mechanical Insulation, Pipe and Jacketing VR</t>
  </si>
  <si>
    <t xml:space="preserve">ib-pressure-vessel-confined-entry-and-hot-work</t>
  </si>
  <si>
    <t xml:space="preserve">SmartCiti.X~ Pressure Vessel Confined Entry and Hot Work VR</t>
  </si>
  <si>
    <t xml:space="preserve">select; gauge; sequence; find; hold; track</t>
  </si>
  <si>
    <t xml:space="preserve">ib-refractory-and-castable-installation</t>
  </si>
  <si>
    <t xml:space="preserve">SmartCiti.X~ Refractory and Castable Installation VR</t>
  </si>
  <si>
    <t xml:space="preserve">select; find; sequence; turn; hold; gauge; track; drag</t>
  </si>
  <si>
    <t xml:space="preserve">ib-spray-foam-and-respirator-fit</t>
  </si>
  <si>
    <t xml:space="preserve">SmartCiti.X~ Spray Foam and Respirator Fit VR</t>
  </si>
  <si>
    <t xml:space="preserve">select; sequence; hold; gauge; find; drag; turn; track</t>
  </si>
  <si>
    <t xml:space="preserve">ice-well-breakage</t>
  </si>
  <si>
    <t xml:space="preserve">SmartCiti.X~ Ice Well Breakage VR</t>
  </si>
  <si>
    <t xml:space="preserve">find; select; sequence; hold; gauge; drag</t>
  </si>
  <si>
    <t xml:space="preserve">id-check-underage</t>
  </si>
  <si>
    <t xml:space="preserve">SmartCiti.X~ Checking ID VR</t>
  </si>
  <si>
    <t xml:space="preserve">select; sequence; hold; drag; find</t>
  </si>
  <si>
    <t xml:space="preserve">implant-surgery-assisting</t>
  </si>
  <si>
    <t xml:space="preserve">SmartCiti.X~ Implant Surgery Assisting VR</t>
  </si>
  <si>
    <t xml:space="preserve">industrial-press-steam</t>
  </si>
  <si>
    <t xml:space="preserve">SmartCiti.X~ Industrial Press &amp; Steam VR</t>
  </si>
  <si>
    <t xml:space="preserve">select; gauge; turn; drag; hold; find; sequence</t>
  </si>
  <si>
    <t xml:space="preserve">infection-control-audit</t>
  </si>
  <si>
    <t xml:space="preserve">SmartCiti.X~ Infection Control Audit VR</t>
  </si>
  <si>
    <t xml:space="preserve">select; find; sequence; turn; drag; track; hold; gauge</t>
  </si>
  <si>
    <t xml:space="preserve">instrument-reprocessing</t>
  </si>
  <si>
    <t xml:space="preserve">SmartCiti.X~ Instrument Reprocessing VR</t>
  </si>
  <si>
    <t xml:space="preserve">select; hold; find; sequence; drag; gauge</t>
  </si>
  <si>
    <t xml:space="preserve">isco-injection</t>
  </si>
  <si>
    <t xml:space="preserve">SmartCiti.X~ ISCO Injection VR</t>
  </si>
  <si>
    <t xml:space="preserve">select; sequence; track; drag; gauge; turn; hold; find</t>
  </si>
  <si>
    <t xml:space="preserve">jigger-pour-spec</t>
  </si>
  <si>
    <t xml:space="preserve">SmartCiti.X~ Pouring to Spec VR</t>
  </si>
  <si>
    <t xml:space="preserve">select; gauge; hold; turn; track; sequence; find</t>
  </si>
  <si>
    <t xml:space="preserve">jobsite-orientation-and-osha-10</t>
  </si>
  <si>
    <t xml:space="preserve">SmartCiti.X~ Jobsite Orientation &amp; OSHA 10 VR</t>
  </si>
  <si>
    <t xml:space="preserve">select; hold; find; gauge; sequence; drag; turn; track</t>
  </si>
  <si>
    <t xml:space="preserve">keg-cellar-co2</t>
  </si>
  <si>
    <t xml:space="preserve">SmartCiti.X~ Keg Cellar CO2 VR</t>
  </si>
  <si>
    <t xml:space="preserve">gauge; sequence; turn; hold; drag; select; find</t>
  </si>
  <si>
    <t xml:space="preserve">kitchen-gas-shutoff</t>
  </si>
  <si>
    <t xml:space="preserve">SmartCiti.X~ Kitchen Gas Shutoff VR</t>
  </si>
  <si>
    <t xml:space="preserve">select; find; drag; sequence; turn; gauge; hold; track</t>
  </si>
  <si>
    <t xml:space="preserve">knife-skills</t>
  </si>
  <si>
    <t xml:space="preserve">SmartCiti.X~ Knife Skills VR</t>
  </si>
  <si>
    <t xml:space="preserve">select; drag; track; gauge; sequence; hold; find</t>
  </si>
  <si>
    <t xml:space="preserve">landfill-gas</t>
  </si>
  <si>
    <t xml:space="preserve">SmartCiti.X~ Landfill Gas VR</t>
  </si>
  <si>
    <t xml:space="preserve">select; turn; gauge; track; find</t>
  </si>
  <si>
    <t xml:space="preserve">last-call-lockup</t>
  </si>
  <si>
    <t xml:space="preserve">SmartCiti.X~ Last Call &amp; Lockup VR</t>
  </si>
  <si>
    <t xml:space="preserve">select; track; turn; find; hold; drag; sequence</t>
  </si>
  <si>
    <t xml:space="preserve">laundry-plant-chemicals</t>
  </si>
  <si>
    <t xml:space="preserve">SmartCiti.X~ Laundry Plant Chemicals VR</t>
  </si>
  <si>
    <t xml:space="preserve">le-crowd-barricade-and-show-stop-call</t>
  </si>
  <si>
    <t xml:space="preserve">SmartCiti.X~ Crowd Barricade &amp; Show-Stop Call VR</t>
  </si>
  <si>
    <t xml:space="preserve">select; sequence; find; drag; turn; gauge; hold; track</t>
  </si>
  <si>
    <t xml:space="preserve">le-followspot-and-truss-access-at-height</t>
  </si>
  <si>
    <t xml:space="preserve">SmartCiti.X~ Followspot &amp; Truss Access at Height VR</t>
  </si>
  <si>
    <t xml:space="preserve">select; sequence; find; hold; turn; gauge; track; drag</t>
  </si>
  <si>
    <t xml:space="preserve">leading-edge-and-horizontal-lifeline</t>
  </si>
  <si>
    <t xml:space="preserve">SmartCiti.X~ Leading Edge &amp; Horizontal Lifeline VR</t>
  </si>
  <si>
    <t xml:space="preserve">select; sequence; find; turn; drag; track; gauge; hold</t>
  </si>
  <si>
    <t xml:space="preserve">lift-station</t>
  </si>
  <si>
    <t xml:space="preserve">SmartCiti.X~ Lift Station VR</t>
  </si>
  <si>
    <t xml:space="preserve">select; sequence; turn; gauge; hold; drag; find</t>
  </si>
  <si>
    <t xml:space="preserve">line-truck</t>
  </si>
  <si>
    <t xml:space="preserve">SmartCiti.X~ Line Truck VR</t>
  </si>
  <si>
    <t xml:space="preserve">select; drag; find; gauge; turn; sequence; hold</t>
  </si>
  <si>
    <t xml:space="preserve">living-shoreline</t>
  </si>
  <si>
    <t xml:space="preserve">SmartCiti.X~ Living Shoreline VR</t>
  </si>
  <si>
    <t xml:space="preserve">lockstitch-seam-guard</t>
  </si>
  <si>
    <t xml:space="preserve">SmartCiti.X~ Lockstitch Seam Behind the Guard VR</t>
  </si>
  <si>
    <t xml:space="preserve">select; drag; turn; hold; track; sequence; find</t>
  </si>
  <si>
    <t xml:space="preserve">machine-threading-needle</t>
  </si>
  <si>
    <t xml:space="preserve">SmartCiti.X~ Machine Threading and Needle VR</t>
  </si>
  <si>
    <t xml:space="preserve">select; drag; sequence; hold; turn; gauge; find</t>
  </si>
  <si>
    <t xml:space="preserve">manhole-entry-and-atmospheric-monitoring</t>
  </si>
  <si>
    <t xml:space="preserve">SmartCiti.X~ Manhole Entry &amp; Atmospheric Monitoring VR</t>
  </si>
  <si>
    <t xml:space="preserve">sequence; select; gauge; drag; hold; find; turn; track</t>
  </si>
  <si>
    <t xml:space="preserve">marsh-transect-survey</t>
  </si>
  <si>
    <t xml:space="preserve">SmartCiti.X~ Marsh Transect Survey VR</t>
  </si>
  <si>
    <t xml:space="preserve">masonry-silica-scaffold</t>
  </si>
  <si>
    <t xml:space="preserve">SmartCiti.X~ Masonry Silica Scaffold VR</t>
  </si>
  <si>
    <t xml:space="preserve">select; find; sequence; turn; gauge; track; drag; hold</t>
  </si>
  <si>
    <t xml:space="preserve">mass-timber-panel-set</t>
  </si>
  <si>
    <t xml:space="preserve">SmartCiti.X~ Mass Timber Panel Set VR</t>
  </si>
  <si>
    <t xml:space="preserve">select; find; sequence; track; drag; gauge; hold</t>
  </si>
  <si>
    <t xml:space="preserve">mast-climber</t>
  </si>
  <si>
    <t xml:space="preserve">SmartCiti.X~ Mast Climber VR</t>
  </si>
  <si>
    <t xml:space="preserve">select; find; drag; sequence; hold; gauge; track</t>
  </si>
  <si>
    <t xml:space="preserve">md-camera-dolly-and-crane-track</t>
  </si>
  <si>
    <t xml:space="preserve">SmartCiti.X~ Camera Dolly &amp; Crane Track VR</t>
  </si>
  <si>
    <t xml:space="preserve">md-intimacy-and-conduct-coordination-briefing</t>
  </si>
  <si>
    <t xml:space="preserve">SmartCiti.X~ Intimacy &amp; Conduct Coordination Briefing VR</t>
  </si>
  <si>
    <t xml:space="preserve">select; gauge; find; drag; turn; sequence; hold; track</t>
  </si>
  <si>
    <t xml:space="preserve">md-location-shoot-traffic-control-and-heat-hydration</t>
  </si>
  <si>
    <t xml:space="preserve">SmartCiti.X~ Location Shoot Traffic Control &amp; Heat/Hydration VR</t>
  </si>
  <si>
    <t xml:space="preserve">select; sequence; find; gauge; turn; hold; track; drive; drag</t>
  </si>
  <si>
    <t xml:space="preserve">md-newsroom-storm-scene-and-live-truck-mast</t>
  </si>
  <si>
    <t xml:space="preserve">SmartCiti.X~ Newsroom Storm Scene &amp; Live Truck Mast VR</t>
  </si>
  <si>
    <t xml:space="preserve">md-recording-studio-hearing-conservation-and-load-in</t>
  </si>
  <si>
    <t xml:space="preserve">SmartCiti.X~ Recording Studio Hearing Conservation &amp; Load-In VR</t>
  </si>
  <si>
    <t xml:space="preserve">md-set-safety-meeting-and-stunt-go-no-go</t>
  </si>
  <si>
    <t xml:space="preserve">SmartCiti.X~ Set Safety Meeting &amp; Stunt Go/No-Go VR</t>
  </si>
  <si>
    <t xml:space="preserve">md-sound-stage-electrical-distribution-and-cable-crossings</t>
  </si>
  <si>
    <t xml:space="preserve">SmartCiti.X~ Sound Stage Electrical Distribution &amp; Cable Crossings VR</t>
  </si>
  <si>
    <t xml:space="preserve">select; sequence; find; turn; hold; gauge; track; drag</t>
  </si>
  <si>
    <t xml:space="preserve">md-theatre-fly-floor-and-quick-change-lane</t>
  </si>
  <si>
    <t xml:space="preserve">SmartCiti.X~ Theatre Fly Floor &amp; Quick-Change Lane VR</t>
  </si>
  <si>
    <t xml:space="preserve">me-eelgrass-seed-collection-and-nursery</t>
  </si>
  <si>
    <t xml:space="preserve">SmartCiti.X~ Eelgrass Seed Collection &amp; Nursery VR</t>
  </si>
  <si>
    <t xml:space="preserve">select; gauge; sequence; drag; track; find; turn; hold</t>
  </si>
  <si>
    <t xml:space="preserve">me-fish-visual-census-and-data-sheet</t>
  </si>
  <si>
    <t xml:space="preserve">SmartCiti.X~ Fish Visual Census &amp; Data Sheet VR</t>
  </si>
  <si>
    <t xml:space="preserve">select; sequence; gauge; drag; turn; track; find; hold</t>
  </si>
  <si>
    <t xml:space="preserve">me-invasive-species-identification-and-reporting</t>
  </si>
  <si>
    <t xml:space="preserve">SmartCiti.X~ Invasive Species Identification &amp; Reporting VR</t>
  </si>
  <si>
    <t xml:space="preserve">select; sequence; track; gauge; drag; hold; find; turn</t>
  </si>
  <si>
    <t xml:space="preserve">me-kelp-transect-survey-and-photo-quadrats</t>
  </si>
  <si>
    <t xml:space="preserve">SmartCiti.X~ Kelp Transect Survey &amp; Photo Quadrats VR</t>
  </si>
  <si>
    <t xml:space="preserve">select; sequence; gauge; turn; drag; track; find; hold</t>
  </si>
  <si>
    <t xml:space="preserve">me-oyster-reef-monitoring-and-settlement-tiles</t>
  </si>
  <si>
    <t xml:space="preserve">SmartCiti.X~ Oyster Reef Monitoring &amp; Settlement Tiles VR</t>
  </si>
  <si>
    <t xml:space="preserve">select; sequence; gauge; track; drag; find; hold; turn</t>
  </si>
  <si>
    <t xml:space="preserve">me-shoreline-debris-and-microplastics-survey</t>
  </si>
  <si>
    <t xml:space="preserve">SmartCiti.X~ Shoreline Debris &amp; Microplastics Survey VR</t>
  </si>
  <si>
    <t xml:space="preserve">select; sequence; gauge; track; find; turn; hold; drag</t>
  </si>
  <si>
    <t xml:space="preserve">me-tidal-marsh-channel-restoration-day</t>
  </si>
  <si>
    <t xml:space="preserve">SmartCiti.X~ Tidal Marsh Channel Restoration Day VR</t>
  </si>
  <si>
    <t xml:space="preserve">select; sequence; gauge; track; drag; turn; find; hold</t>
  </si>
  <si>
    <t xml:space="preserve">me-water-column-sampling-from-a-small-boat</t>
  </si>
  <si>
    <t xml:space="preserve">SmartCiti.X~ Water Column Sampling From A Small Boat VR</t>
  </si>
  <si>
    <t xml:space="preserve">select; sequence; gauge; drag; turn; hold; track; find</t>
  </si>
  <si>
    <t xml:space="preserve">mentorship-and-succession</t>
  </si>
  <si>
    <t xml:space="preserve">SmartCiti.X~ Mentorship and Succession VR</t>
  </si>
  <si>
    <t xml:space="preserve">find; select; sequence; gauge; hold; drag; turn; track</t>
  </si>
  <si>
    <t xml:space="preserve">met-station-siting</t>
  </si>
  <si>
    <t xml:space="preserve">SmartCiti.X~ Met Station Siting VR</t>
  </si>
  <si>
    <t xml:space="preserve">select; find; drag; hold; sequence; turn; gauge; track</t>
  </si>
  <si>
    <t xml:space="preserve">microwave-backhaul</t>
  </si>
  <si>
    <t xml:space="preserve">SmartCiti.X~ Microwave Backhaul VR</t>
  </si>
  <si>
    <t xml:space="preserve">select; sequence; find; turn; track; gauge</t>
  </si>
  <si>
    <t xml:space="preserve">ml-delivery-van-pretrip-and-route-loading</t>
  </si>
  <si>
    <t xml:space="preserve">SmartCiti.X~ Delivery Van Pre-Trip &amp; Route Loading VR</t>
  </si>
  <si>
    <t xml:space="preserve">sequence; select; find; gauge; drag; turn; drive</t>
  </si>
  <si>
    <t xml:space="preserve">ml-dog-and-hazard-awareness-on-route</t>
  </si>
  <si>
    <t xml:space="preserve">SmartCiti.X~ Dog &amp; Hazard Awareness on Route VR</t>
  </si>
  <si>
    <t xml:space="preserve">sequence; select; find; hold; drag; track; turn; drive</t>
  </si>
  <si>
    <t xml:space="preserve">ml-flat-sorter-guarding-and-lockout</t>
  </si>
  <si>
    <t xml:space="preserve">SmartCiti.X~ Flat Sorter Guarding &amp; Lockout VR</t>
  </si>
  <si>
    <t xml:space="preserve">ml-heat-and-cold-stress-on-route</t>
  </si>
  <si>
    <t xml:space="preserve">SmartCiti.X~ Heat &amp; Cold Stress on Route VR</t>
  </si>
  <si>
    <t xml:space="preserve">sequence; select; find; turn; drag; gauge; hold; track</t>
  </si>
  <si>
    <t xml:space="preserve">ml-mail-handler-forklift-and-container-dock</t>
  </si>
  <si>
    <t xml:space="preserve">SmartCiti.X~ Mail Handler Forklift &amp; Container Dock VR</t>
  </si>
  <si>
    <t xml:space="preserve">sequence; select; find; gauge; turn; drag; hold</t>
  </si>
  <si>
    <t xml:space="preserve">ml-parcel-sorter-conveyor-jam-and-loto</t>
  </si>
  <si>
    <t xml:space="preserve">SmartCiti.X~ Parcel Sorter Conveyor Jam &amp; LOTO VR</t>
  </si>
  <si>
    <t xml:space="preserve">ml-retail-counter-deescalation</t>
  </si>
  <si>
    <t xml:space="preserve">SmartCiti.X~ Retail Counter De-escalation VR</t>
  </si>
  <si>
    <t xml:space="preserve">select; find; drag; track; sequence; gauge; hold; turn</t>
  </si>
  <si>
    <t xml:space="preserve">ml-suspicious-package-protocol</t>
  </si>
  <si>
    <t xml:space="preserve">SmartCiti.X~ Suspicious Package Protocol VR</t>
  </si>
  <si>
    <t xml:space="preserve">select; find; turn; sequence; track; drag; gauge; hold</t>
  </si>
  <si>
    <t xml:space="preserve">mm-coke-oven-heat-rotation</t>
  </si>
  <si>
    <t xml:space="preserve">SmartCiti.X~ Coke Oven Heat Rotation VR</t>
  </si>
  <si>
    <t xml:space="preserve">select; sequence; find; drag; turn; track; hold; gauge</t>
  </si>
  <si>
    <t xml:space="preserve">mm-continuous-miner-face</t>
  </si>
  <si>
    <t xml:space="preserve">SmartCiti.X~ Continuous Miner Face VR</t>
  </si>
  <si>
    <t xml:space="preserve">mm-conveyor-fire-and-gas-monitoring</t>
  </si>
  <si>
    <t xml:space="preserve">SmartCiti.X~ Conveyor Belt Fire &amp; Gas Monitoring VR</t>
  </si>
  <si>
    <t xml:space="preserve">select; find; drag; turn; hold; gauge; sequence; track</t>
  </si>
  <si>
    <t xml:space="preserve">mm-haul-truck-berm</t>
  </si>
  <si>
    <t xml:space="preserve">SmartCiti.X~ Haul Truck Berm &amp; Dump Point VR</t>
  </si>
  <si>
    <t xml:space="preserve">find; select; drive; track; turn; hold</t>
  </si>
  <si>
    <t xml:space="preserve">mm-hot-strip-mill-stand</t>
  </si>
  <si>
    <t xml:space="preserve">SmartCiti.X~ Hot-Strip Mill Stand VR</t>
  </si>
  <si>
    <t xml:space="preserve">select; sequence; hold; turn; drag; track; find; gauge</t>
  </si>
  <si>
    <t xml:space="preserve">mm-ladle-pour</t>
  </si>
  <si>
    <t xml:space="preserve">SmartCiti.X~ Ladle Pour VR</t>
  </si>
  <si>
    <t xml:space="preserve">select; sequence; find; drag; hold; turn; track; gauge</t>
  </si>
  <si>
    <t xml:space="preserve">mm-mine-escapeway-drill</t>
  </si>
  <si>
    <t xml:space="preserve">SmartCiti.X~ Mine Escapeway &amp; Self-Rescuer Drill VR</t>
  </si>
  <si>
    <t xml:space="preserve">select; sequence; find; track; gauge; hold; turn; drag</t>
  </si>
  <si>
    <t xml:space="preserve">mm-paper-machine-dryer</t>
  </si>
  <si>
    <t xml:space="preserve">SmartCiti.X~ Paper Machine Dryer Section VR</t>
  </si>
  <si>
    <t xml:space="preserve">mobile-air-lab</t>
  </si>
  <si>
    <t xml:space="preserve">SmartCiti.X~ Mobile Air Lab VR</t>
  </si>
  <si>
    <t xml:space="preserve">select; sequence; turn; gauge; hold; track; find</t>
  </si>
  <si>
    <t xml:space="preserve">mobile-dental-outreach</t>
  </si>
  <si>
    <t xml:space="preserve">SmartCiti.X~ Mobile Dental Outreach VR</t>
  </si>
  <si>
    <t xml:space="preserve">select; drag; gauge; sequence; find; hold; turn</t>
  </si>
  <si>
    <t xml:space="preserve">mooring-line</t>
  </si>
  <si>
    <t xml:space="preserve">SmartCiti.X~ Mooring Line VR</t>
  </si>
  <si>
    <t xml:space="preserve">select; sequence; track; drag; gauge; hold; find</t>
  </si>
  <si>
    <t xml:space="preserve">motor-control-center</t>
  </si>
  <si>
    <t xml:space="preserve">SmartCiti.X~ Motor Control Center VR</t>
  </si>
  <si>
    <t xml:space="preserve">select; sequence; turn; hold; gauge; find</t>
  </si>
  <si>
    <t xml:space="preserve">mw-dive-supervisor-and-dive-plan</t>
  </si>
  <si>
    <t xml:space="preserve">SmartCiti.X~ Dive Supervisor &amp; Dive Plan VR</t>
  </si>
  <si>
    <t xml:space="preserve">select; sequence; find; turn; gauge; drag; hold; track</t>
  </si>
  <si>
    <t xml:space="preserve">mw-diver-emergency-and-recovery</t>
  </si>
  <si>
    <t xml:space="preserve">SmartCiti.X~ Diver Emergency &amp; Recovery VR</t>
  </si>
  <si>
    <t xml:space="preserve">select; hold; turn; gauge; find; drag; track; sequence</t>
  </si>
  <si>
    <t xml:space="preserve">mw-ferry-deckhand-and-passenger-safety</t>
  </si>
  <si>
    <t xml:space="preserve">SmartCiti.X~ Ferry Deckhand &amp; Passenger Safety VR</t>
  </si>
  <si>
    <t xml:space="preserve">select; sequence; find; drag; hold; gauge; turn; track</t>
  </si>
  <si>
    <t xml:space="preserve">mw-hull-inspection-and-cleaning-dive</t>
  </si>
  <si>
    <t xml:space="preserve">SmartCiti.X~ Hull Inspection &amp; Cleaning Dive VR</t>
  </si>
  <si>
    <t xml:space="preserve">select; hold; find; gauge; drag; turn; track; sequence</t>
  </si>
  <si>
    <t xml:space="preserve">mw-oil-transfer-watch-and-boom</t>
  </si>
  <si>
    <t xml:space="preserve">SmartCiti.X~ Oil Transfer Watch &amp; Boom VR</t>
  </si>
  <si>
    <t xml:space="preserve">select; gauge; drag; find; turn; hold; track; sequence</t>
  </si>
  <si>
    <t xml:space="preserve">mw-pier-pile-inspection-dive</t>
  </si>
  <si>
    <t xml:space="preserve">SmartCiti.X~ Pier Pile Inspection Dive VR</t>
  </si>
  <si>
    <t xml:space="preserve">select; hold; drag; find; gauge; turn; track; sequence</t>
  </si>
  <si>
    <t xml:space="preserve">mw-underwater-welding-and-cutting</t>
  </si>
  <si>
    <t xml:space="preserve">SmartCiti.X~ Underwater Welding &amp; Cutting VR</t>
  </si>
  <si>
    <t xml:space="preserve">select; hold; drag; find; sequence; gauge; track; turn</t>
  </si>
  <si>
    <t xml:space="preserve">mw-workboat-towing-and-line-handling</t>
  </si>
  <si>
    <t xml:space="preserve">SmartCiti.X~ Workboat Towing &amp; Line Handling VR</t>
  </si>
  <si>
    <t xml:space="preserve">select; sequence; find; turn; hold; drag; gauge; track</t>
  </si>
  <si>
    <t xml:space="preserve">nitrous-oxide-monitoring</t>
  </si>
  <si>
    <t xml:space="preserve">SmartCiti.X~ Nitrous Oxide Monitoring VR</t>
  </si>
  <si>
    <t xml:space="preserve">select; find; sequence; drag; gauge; hold; turn</t>
  </si>
  <si>
    <t xml:space="preserve">odor-complaint-log</t>
  </si>
  <si>
    <t xml:space="preserve">SmartCiti.X~ Pollution Patrol VR</t>
  </si>
  <si>
    <t xml:space="preserve">select; sequence; turn; gauge; hold; find; drag</t>
  </si>
  <si>
    <t xml:space="preserve">op-compactor-lift-thickness-and-edge</t>
  </si>
  <si>
    <t xml:space="preserve">SmartCiti.X~ Compactor Lift Thickness &amp; Edge VR</t>
  </si>
  <si>
    <t xml:space="preserve">sequence; select; find; turn; drag; hold; track; gauge</t>
  </si>
  <si>
    <t xml:space="preserve">op-crawler-crane-assembly-and-load-chart</t>
  </si>
  <si>
    <t xml:space="preserve">SmartCiti.X~ Crawler Crane Assembly &amp; Load Chart VR</t>
  </si>
  <si>
    <t xml:space="preserve">op-dozer-slope-work-and-rollover-protection</t>
  </si>
  <si>
    <t xml:space="preserve">SmartCiti.X~ Dozer Slope Work &amp; Rollover Protection VR</t>
  </si>
  <si>
    <t xml:space="preserve">op-equipment-daily-walkaround-and-fluids</t>
  </si>
  <si>
    <t xml:space="preserve">SmartCiti.X~ Equipment Daily Walkaround &amp; Fluids VR</t>
  </si>
  <si>
    <t xml:space="preserve">sequence; select; find; gauge; drag; turn; hold; track</t>
  </si>
  <si>
    <t xml:space="preserve">op-excavator-trench-and-utility-locate</t>
  </si>
  <si>
    <t xml:space="preserve">SmartCiti.X~ Excavator Trench &amp; Utility Locate VR</t>
  </si>
  <si>
    <t xml:space="preserve">op-grader-fine-grade-and-crown</t>
  </si>
  <si>
    <t xml:space="preserve">SmartCiti.X~ Grader Fine Grade &amp; Crown VR</t>
  </si>
  <si>
    <t xml:space="preserve">op-loader-truck-loading-and-blind-spots</t>
  </si>
  <si>
    <t xml:space="preserve">SmartCiti.X~ Loader Truck Loading &amp; Blind Spots VR</t>
  </si>
  <si>
    <t xml:space="preserve">sequence; find; select; drag; gauge; turn; hold; track</t>
  </si>
  <si>
    <t xml:space="preserve">op-pile-driving-rig-and-lead-setup</t>
  </si>
  <si>
    <t xml:space="preserve">SmartCiti.X~ Pile Driving Rig &amp; Lead Setup VR</t>
  </si>
  <si>
    <t xml:space="preserve">opacity-reading</t>
  </si>
  <si>
    <t xml:space="preserve">SmartCiti.X~ Opacity Reading VR</t>
  </si>
  <si>
    <t xml:space="preserve">select; turn; gauge; drag; find; track; hold; sequence</t>
  </si>
  <si>
    <t xml:space="preserve">operatory-turnover</t>
  </si>
  <si>
    <t xml:space="preserve">SmartCiti.X~ Operatory Turnover VR</t>
  </si>
  <si>
    <t xml:space="preserve">sequence; find; select; track; hold; drag</t>
  </si>
  <si>
    <t xml:space="preserve">or-ranch-road-grading-and-culvert</t>
  </si>
  <si>
    <t xml:space="preserve">SmartCiti.X~ Ranch Road Grading &amp; Culvert VR</t>
  </si>
  <si>
    <t xml:space="preserve">or-solar-farm-tracker-row-maintenance</t>
  </si>
  <si>
    <t xml:space="preserve">SmartCiti.X~ Solar Tracker Row Maintenance VR</t>
  </si>
  <si>
    <t xml:space="preserve">or-transmission-line-right-of-way-patrol</t>
  </si>
  <si>
    <t xml:space="preserve">SmartCiti.X~ Transmission Line ROW Patrol VR</t>
  </si>
  <si>
    <t xml:space="preserve">select; sequence; find; gauge; track; drag</t>
  </si>
  <si>
    <t xml:space="preserve">or-wildland-fireline-construction-and-lookout</t>
  </si>
  <si>
    <t xml:space="preserve">SmartCiti.X~ Wildland Fireline Construction VR</t>
  </si>
  <si>
    <t xml:space="preserve">select; sequence; find; gauge; drag; hold; turn</t>
  </si>
  <si>
    <t xml:space="preserve">oral-cancer-screening</t>
  </si>
  <si>
    <t xml:space="preserve">SmartCiti.X~ Oral Cancer Screening VR</t>
  </si>
  <si>
    <t xml:space="preserve">select; turn; sequence; hold; track; find; gauge</t>
  </si>
  <si>
    <t xml:space="preserve">oral-surgery-assisting</t>
  </si>
  <si>
    <t xml:space="preserve">SmartCiti.X~ Oral Surgery Assisting VR</t>
  </si>
  <si>
    <t xml:space="preserve">find; hold; sequence; gauge; track; drag; turn; select</t>
  </si>
  <si>
    <t xml:space="preserve">orthodontic-assisting</t>
  </si>
  <si>
    <t xml:space="preserve">SmartCiti.X~ Orthodontic Assisting VR</t>
  </si>
  <si>
    <t xml:space="preserve">select; sequence; drag; find; track; hold; gauge; turn</t>
  </si>
  <si>
    <t xml:space="preserve">overdose-response-naloxone</t>
  </si>
  <si>
    <t xml:space="preserve">SmartCiti.X~ Overdose Response — Naloxone VR</t>
  </si>
  <si>
    <t xml:space="preserve">find; hold; track; select; gauge; turn; drag; sequence</t>
  </si>
  <si>
    <t xml:space="preserve">oyster-reef-monitoring</t>
  </si>
  <si>
    <t xml:space="preserve">SmartCiti.X~ Oyster Reef Monitoring VR</t>
  </si>
  <si>
    <t xml:space="preserve">select; sequence; find; hold; drag; turn; track; gauge</t>
  </si>
  <si>
    <t xml:space="preserve">parcel-status-walk</t>
  </si>
  <si>
    <t xml:space="preserve">SmartCiti.X~ Parcel Status Walk VR</t>
  </si>
  <si>
    <t xml:space="preserve">sequence; select; turn; gauge; track; find; drag; hold</t>
  </si>
  <si>
    <t xml:space="preserve">patient-intake-screening</t>
  </si>
  <si>
    <t xml:space="preserve">SmartCiti.X~ Patient Intake Screening VR</t>
  </si>
  <si>
    <t xml:space="preserve">dental-careers-unspoken-smiles; dental-hygiene-unspoken-smiles</t>
  </si>
  <si>
    <t xml:space="preserve">select; find; turn; drag; gauge; sequence; hold</t>
  </si>
  <si>
    <t xml:space="preserve">patron-deescalation</t>
  </si>
  <si>
    <t xml:space="preserve">SmartCiti.X~ Patron De-escalation VR</t>
  </si>
  <si>
    <t xml:space="preserve">find; hold; turn; select; sequence; gauge; track; drag</t>
  </si>
  <si>
    <t xml:space="preserve">pattern-marking-layout</t>
  </si>
  <si>
    <t xml:space="preserve">SmartCiti.X~ Pattern Marking &amp; Layout VR</t>
  </si>
  <si>
    <t xml:space="preserve">select; turn; drag; track; find; gauge; sequence</t>
  </si>
  <si>
    <t xml:space="preserve">pay-stub-and-withholding</t>
  </si>
  <si>
    <t xml:space="preserve">SmartCiti.X~ Pay Stub &amp; Withholding VR</t>
  </si>
  <si>
    <t xml:space="preserve">select; find; gauge; drag; sequence; hold; turn; track</t>
  </si>
  <si>
    <t xml:space="preserve">pcb-equipment-removal</t>
  </si>
  <si>
    <t xml:space="preserve">SmartCiti.X~ PCB Equipment Removal VR</t>
  </si>
  <si>
    <t xml:space="preserve">sequence; gauge; find; turn; select; drag; track; hold</t>
  </si>
  <si>
    <t xml:space="preserve">pediatric-visit</t>
  </si>
  <si>
    <t xml:space="preserve">SmartCiti.X~ Pediatric Visit VR</t>
  </si>
  <si>
    <t xml:space="preserve">select; drag; sequence; find; gauge; track; hold; turn</t>
  </si>
  <si>
    <t xml:space="preserve">periodontal-charting</t>
  </si>
  <si>
    <t xml:space="preserve">SmartCiti.X~ Periodontal Charting VR</t>
  </si>
  <si>
    <t xml:space="preserve">turn; select; drag; track; sequence; gauge; hold; find</t>
  </si>
  <si>
    <t xml:space="preserve">pilot-transfer</t>
  </si>
  <si>
    <t xml:space="preserve">SmartCiti.X~ Pilot Transfer VR</t>
  </si>
  <si>
    <t xml:space="preserve">select; find; sequence; drag; turn; track; hold; gauge</t>
  </si>
  <si>
    <t xml:space="preserve">pl-copper-press-and-solder-rough-in</t>
  </si>
  <si>
    <t xml:space="preserve">SmartCiti.X~ Copper Press &amp; Solder Rough-In VR</t>
  </si>
  <si>
    <t xml:space="preserve">select; sequence; find; hold; drag; gauge; track; turn</t>
  </si>
  <si>
    <t xml:space="preserve">pl-fire-sprinkler-riser-and-flow-test</t>
  </si>
  <si>
    <t xml:space="preserve">SmartCiti.X~ Fire Sprinkler Riser &amp; Flow Test VR</t>
  </si>
  <si>
    <t xml:space="preserve">pl-hydronic-boiler-piping-and-hydrotest</t>
  </si>
  <si>
    <t xml:space="preserve">SmartCiti.X~ Hydronic Boiler Piping &amp; Hydrotest VR</t>
  </si>
  <si>
    <t xml:space="preserve">select; sequence; find; drag; hold; gauge; track; turn</t>
  </si>
  <si>
    <t xml:space="preserve">pl-medical-gas-brazing-and-purge</t>
  </si>
  <si>
    <t xml:space="preserve">SmartCiti.X~ Medical Gas Brazing &amp; Purge VR</t>
  </si>
  <si>
    <t xml:space="preserve">pl-natural-gas-pressure-test-and-leak-check</t>
  </si>
  <si>
    <t xml:space="preserve">SmartCiti.X~ Natural Gas Pressure Test &amp; Leak Check VR</t>
  </si>
  <si>
    <t xml:space="preserve">select; sequence; find; gauge; track; hold; turn</t>
  </si>
  <si>
    <t xml:space="preserve">pl-steam-trap-and-condensate-line-repair</t>
  </si>
  <si>
    <t xml:space="preserve">SmartCiti.X~ Steam Trap &amp; Condensate Line Repair VR</t>
  </si>
  <si>
    <t xml:space="preserve">pl-underground-sewer-lateral-and-trench-shoring</t>
  </si>
  <si>
    <t xml:space="preserve">SmartCiti.X~ Underground Sewer Lateral &amp; Trench Shoring VR</t>
  </si>
  <si>
    <t xml:space="preserve">select; find; drag; hold; turn; gauge; sequence; track</t>
  </si>
  <si>
    <t xml:space="preserve">pl-water-heater-and-tpr-valve-replacement</t>
  </si>
  <si>
    <t xml:space="preserve">SmartCiti.X~ Water Heater &amp; TPR Valve Replacement VR</t>
  </si>
  <si>
    <t xml:space="preserve">select; sequence; hold; find; drag; gauge; turn; track</t>
  </si>
  <si>
    <t xml:space="preserve">pm-community-room-and-events</t>
  </si>
  <si>
    <t xml:space="preserve">SmartCiti.X~ Community Room &amp; Events VR</t>
  </si>
  <si>
    <t xml:space="preserve">select; find; turn; drag; sequence; gauge; hold; track</t>
  </si>
  <si>
    <t xml:space="preserve">pm-domestic-water-and-backflow</t>
  </si>
  <si>
    <t xml:space="preserve">SmartCiti.X~ Domestic Water &amp; Backflow VR</t>
  </si>
  <si>
    <t xml:space="preserve">pm-electrical-room</t>
  </si>
  <si>
    <t xml:space="preserve">SmartCiti.X~ Electrical Room VR</t>
  </si>
  <si>
    <t xml:space="preserve">select; find; drag; gauge; sequence; turn; hold; track</t>
  </si>
  <si>
    <t xml:space="preserve">pm-elevator-machine-room</t>
  </si>
  <si>
    <t xml:space="preserve">SmartCiti.X~ Elevator Machine Room VR</t>
  </si>
  <si>
    <t xml:space="preserve">select; sequence; gauge; find; drag; hold; track; turn</t>
  </si>
  <si>
    <t xml:space="preserve">pm-fire-alarm-panel-room</t>
  </si>
  <si>
    <t xml:space="preserve">SmartCiti.X~ Fire Alarm Panel Room VR</t>
  </si>
  <si>
    <t xml:space="preserve">select; sequence; find; turn; gauge; hold; drag; track</t>
  </si>
  <si>
    <t xml:space="preserve">pm-fitness-room-and-gym</t>
  </si>
  <si>
    <t xml:space="preserve">SmartCiti.X~ Fitness Room &amp; Gym VR</t>
  </si>
  <si>
    <t xml:space="preserve">select; find; sequence; turn; gauge; hold; drag; track</t>
  </si>
  <si>
    <t xml:space="preserve">pm-landscaping-and-irrigation</t>
  </si>
  <si>
    <t xml:space="preserve">SmartCiti.X~ Landscaping &amp; Irrigation VR</t>
  </si>
  <si>
    <t xml:space="preserve">select; find; turn; gauge; sequence; hold; drag; track</t>
  </si>
  <si>
    <t xml:space="preserve">pm-laundry-room</t>
  </si>
  <si>
    <t xml:space="preserve">SmartCiti.X~ Laundry Room VR</t>
  </si>
  <si>
    <t xml:space="preserve">select; find; sequence; turn; hold; drag; gauge; track</t>
  </si>
  <si>
    <t xml:space="preserve">pm-leasing-office-fair-housing</t>
  </si>
  <si>
    <t xml:space="preserve">SmartCiti.X~ Leasing Office and Fair Housing VR</t>
  </si>
  <si>
    <t xml:space="preserve">select; sequence; find; gauge; drag; hold; track; turn</t>
  </si>
  <si>
    <t xml:space="preserve">pm-loading-dock-and-moves</t>
  </si>
  <si>
    <t xml:space="preserve">SmartCiti.X~ Loading Dock &amp; Moves VR</t>
  </si>
  <si>
    <t xml:space="preserve">select; turn; drag; find; sequence; gauge; hold; track</t>
  </si>
  <si>
    <t xml:space="preserve">pm-lobby-and-front-desk</t>
  </si>
  <si>
    <t xml:space="preserve">SmartCiti.X~ Lobby and Front Desk VR</t>
  </si>
  <si>
    <t xml:space="preserve">select; sequence; gauge; find; drag; track; hold; turn</t>
  </si>
  <si>
    <t xml:space="preserve">pm-mail-and-package-room</t>
  </si>
  <si>
    <t xml:space="preserve">SmartCiti.X~ Mail &amp; Package Room VR</t>
  </si>
  <si>
    <t xml:space="preserve">select; find; gauge; sequence; drag; hold; track; turn</t>
  </si>
  <si>
    <t xml:space="preserve">pm-parking-garage</t>
  </si>
  <si>
    <t xml:space="preserve">SmartCiti.X~ Parking Garage VR</t>
  </si>
  <si>
    <t xml:space="preserve">select; gauge; turn; find; drag; sequence; track; hold</t>
  </si>
  <si>
    <t xml:space="preserve">pm-playground-and-courtyard</t>
  </si>
  <si>
    <t xml:space="preserve">SmartCiti.X~ Playground &amp; Courtyard VR</t>
  </si>
  <si>
    <t xml:space="preserve">select; find; gauge; drag; turn; hold; sequence; track</t>
  </si>
  <si>
    <t xml:space="preserve">pm-pool-and-spa-chemistry</t>
  </si>
  <si>
    <t xml:space="preserve">SmartCiti.X~ Pool &amp; Spa Chemistry VR</t>
  </si>
  <si>
    <t xml:space="preserve">select; find; gauge; turn; sequence; drag; track; hold</t>
  </si>
  <si>
    <t xml:space="preserve">pm-roof-and-drains</t>
  </si>
  <si>
    <t xml:space="preserve">SmartCiti.X~ Roof and Drains VR</t>
  </si>
  <si>
    <t xml:space="preserve">select; sequence; gauge; track; find; drag; hold; turn</t>
  </si>
  <si>
    <t xml:space="preserve">pm-sprinkler-riser-room</t>
  </si>
  <si>
    <t xml:space="preserve">SmartCiti.X~ Sprinkler Riser Room VR</t>
  </si>
  <si>
    <t xml:space="preserve">pm-storage-and-bike-room</t>
  </si>
  <si>
    <t xml:space="preserve">SmartCiti.X~ Storage &amp; Bike Room VR</t>
  </si>
  <si>
    <t xml:space="preserve">select; find; drag; gauge; turn; hold; sequence; track</t>
  </si>
  <si>
    <t xml:space="preserve">pm-trash-and-recycling-room</t>
  </si>
  <si>
    <t xml:space="preserve">SmartCiti.X~ Trash and Recycling Room VR</t>
  </si>
  <si>
    <t xml:space="preserve">pm-unit-turnover</t>
  </si>
  <si>
    <t xml:space="preserve">SmartCiti.X~ Unit Turnover VR</t>
  </si>
  <si>
    <t xml:space="preserve">select; find; sequence; hold; drag; track; turn; gauge</t>
  </si>
  <si>
    <t xml:space="preserve">po-lashing-gear-inspection-and-tagging</t>
  </si>
  <si>
    <t xml:space="preserve">SmartCiti.X~ Lashing Gear Inspection &amp; Tagging VR VR</t>
  </si>
  <si>
    <t xml:space="preserve">po-yard-hostler-and-pedestrian-separation</t>
  </si>
  <si>
    <t xml:space="preserve">SmartCiti.X~ Yard Hostler &amp; Pedestrian Separation VR VR</t>
  </si>
  <si>
    <t xml:space="preserve">post-tension</t>
  </si>
  <si>
    <t xml:space="preserve">SmartCiti.X~ Post Tension VR</t>
  </si>
  <si>
    <t xml:space="preserve">select; gauge; find; sequence; drag; track; hold; turn</t>
  </si>
  <si>
    <t xml:space="preserve">prep-cooling</t>
  </si>
  <si>
    <t xml:space="preserve">SmartCiti.X~ Prep Cooling VR</t>
  </si>
  <si>
    <t xml:space="preserve">select; drag; sequence; track; turn; hold; gauge; find</t>
  </si>
  <si>
    <t xml:space="preserve">press-brake</t>
  </si>
  <si>
    <t xml:space="preserve">SmartCiti.X~ Press Brake VR</t>
  </si>
  <si>
    <t xml:space="preserve">bay-area-union-edition; situational-awareness</t>
  </si>
  <si>
    <t xml:space="preserve">select; turn; drag; sequence; gauge; hold; find</t>
  </si>
  <si>
    <t xml:space="preserve">psychological-first-aid</t>
  </si>
  <si>
    <t xml:space="preserve">SmartCiti.X~ Psychological First Aid VR</t>
  </si>
  <si>
    <t xml:space="preserve">sequence; find; hold; select; gauge; drag; track</t>
  </si>
  <si>
    <t xml:space="preserve">pt-chassis-and-genset-yard</t>
  </si>
  <si>
    <t xml:space="preserve">SmartCiti.X~ Chassis &amp; Genset Yard VR</t>
  </si>
  <si>
    <t xml:space="preserve">select; sequence; find; gauge; turn; hold; drag; track</t>
  </si>
  <si>
    <t xml:space="preserve">pt-crane-boom-hoist-brake-service</t>
  </si>
  <si>
    <t xml:space="preserve">SmartCiti.X~ Crane Boom Hoist Brake Service VR</t>
  </si>
  <si>
    <t xml:space="preserve">select; sequence; hold; find; gauge; turn; drag; track</t>
  </si>
  <si>
    <t xml:space="preserve">pt-dock-fender-and-bollard-inspection</t>
  </si>
  <si>
    <t xml:space="preserve">SmartCiti.X~ Dock Fender &amp; Bollard Inspection VR</t>
  </si>
  <si>
    <t xml:space="preserve">select; sequence; find; hold; gauge; drag; turn; track</t>
  </si>
  <si>
    <t xml:space="preserve">pt-reefer-plug-and-power-panel</t>
  </si>
  <si>
    <t xml:space="preserve">SmartCiti.X~ Reefer Plug &amp; Power Panel VR</t>
  </si>
  <si>
    <t xml:space="preserve">select; sequence; turn; hold; find; drag; gauge; track</t>
  </si>
  <si>
    <t xml:space="preserve">pt-spreader-and-twistlock-inspection</t>
  </si>
  <si>
    <t xml:space="preserve">SmartCiti.X~ Spreader &amp; Twist-lock Inspection VR</t>
  </si>
  <si>
    <t xml:space="preserve">select; sequence; hold; find; turn; gauge; track; drag</t>
  </si>
  <si>
    <t xml:space="preserve">pt-stormwater-at-the-terminal</t>
  </si>
  <si>
    <t xml:space="preserve">SmartCiti.X~ Stormwater at the Terminal VR</t>
  </si>
  <si>
    <t xml:space="preserve">select; sequence; hold; drag; find; gauge; turn; track</t>
  </si>
  <si>
    <t xml:space="preserve">pt-straddle-carrier-hydraulics</t>
  </si>
  <si>
    <t xml:space="preserve">SmartCiti.X~ Straddle Carrier Hydraulics VR</t>
  </si>
  <si>
    <t xml:space="preserve">select; sequence; hold; find; drag; turn; track; gauge</t>
  </si>
  <si>
    <t xml:space="preserve">pt-terminal-lighting-mast-service</t>
  </si>
  <si>
    <t xml:space="preserve">SmartCiti.X~ Terminal Lighting Mast Service VR</t>
  </si>
  <si>
    <t xml:space="preserve">select; sequence; hold; track; find; drag; turn; gauge</t>
  </si>
  <si>
    <t xml:space="preserve">public-comment-prep</t>
  </si>
  <si>
    <t xml:space="preserve">SmartCiti.X~ Public Comment Prep VR</t>
  </si>
  <si>
    <t xml:space="preserve">civic-leadership-and-ei; hunters-point-can-we-live</t>
  </si>
  <si>
    <t xml:space="preserve">select; sequence; find; gauge; drag; track; hold</t>
  </si>
  <si>
    <t xml:space="preserve">public-meeting-chair</t>
  </si>
  <si>
    <t xml:space="preserve">SmartCiti.X~ Public Meeting Chair VR</t>
  </si>
  <si>
    <t xml:space="preserve">pump-and-treat</t>
  </si>
  <si>
    <t xml:space="preserve">SmartCiti.X~ Pump and Treat VR</t>
  </si>
  <si>
    <t xml:space="preserve">select; gauge; find; sequence; turn; track; drag; hold</t>
  </si>
  <si>
    <t xml:space="preserve">pyro-cue</t>
  </si>
  <si>
    <t xml:space="preserve">SmartCiti.X~ Pyro Cue VR</t>
  </si>
  <si>
    <t xml:space="preserve">select; gauge; sequence; drag; turn; hold; find</t>
  </si>
  <si>
    <t xml:space="preserve">ra-air-brake-test-and-train-inspection</t>
  </si>
  <si>
    <t xml:space="preserve">SmartCiti.X~ Air Brake Test &amp; Train Inspection VR</t>
  </si>
  <si>
    <t xml:space="preserve">select; gauge; sequence; turn; find; drag; track</t>
  </si>
  <si>
    <t xml:space="preserve">ra-blue-flag-protection-in-the-yard</t>
  </si>
  <si>
    <t xml:space="preserve">SmartCiti.X~ Blue Flag Protection in the Yard VR</t>
  </si>
  <si>
    <t xml:space="preserve">select; sequence; turn; hold; drag; gauge; track; find</t>
  </si>
  <si>
    <t xml:space="preserve">ra-crossing-signal-maintenance-and-flagging</t>
  </si>
  <si>
    <t xml:space="preserve">SmartCiti.X~ Crossing Signal Maintenance &amp; Flagging VR</t>
  </si>
  <si>
    <t xml:space="preserve">select; hold; sequence; turn; gauge; drag; track; find</t>
  </si>
  <si>
    <t xml:space="preserve">ra-hand-brake-and-securement-on-a-grade</t>
  </si>
  <si>
    <t xml:space="preserve">SmartCiti.X~ Hand Brake &amp; Securement on a Grade VR</t>
  </si>
  <si>
    <t xml:space="preserve">select; gauge; sequence; turn; drag; hold; track; find</t>
  </si>
  <si>
    <t xml:space="preserve">ra-locomotive-cab-startup-and-alerter</t>
  </si>
  <si>
    <t xml:space="preserve">SmartCiti.X~ Locomotive Cab Startup &amp; Alerter VR</t>
  </si>
  <si>
    <t xml:space="preserve">select; sequence; drag; turn; gauge; hold; track; find</t>
  </si>
  <si>
    <t xml:space="preserve">ra-roadway-worker-protection-and-job-briefing</t>
  </si>
  <si>
    <t xml:space="preserve">SmartCiti.X~ Roadway Worker Protection &amp; Job Briefing VR</t>
  </si>
  <si>
    <t xml:space="preserve">select; sequence; gauge; turn; hold; drag; track; find</t>
  </si>
  <si>
    <t xml:space="preserve">ra-switch-inspection-and-lubrication</t>
  </si>
  <si>
    <t xml:space="preserve">SmartCiti.X~ Switch Inspection &amp; Lubrication VR</t>
  </si>
  <si>
    <t xml:space="preserve">ra-tie-and-rail-replacement-with-track-machines</t>
  </si>
  <si>
    <t xml:space="preserve">SmartCiti.X~ Tie &amp; Rail Replacement VR</t>
  </si>
  <si>
    <t xml:space="preserve">select; sequence; turn; track; drag; gauge; hold; find</t>
  </si>
  <si>
    <t xml:space="preserve">rad-meter-basics</t>
  </si>
  <si>
    <t xml:space="preserve">SmartCiti.X~ Rad Meter Basics VR</t>
  </si>
  <si>
    <t xml:space="preserve">sequence; gauge; hold; select; turn; track; drag; find</t>
  </si>
  <si>
    <t xml:space="preserve">rad-survey</t>
  </si>
  <si>
    <t xml:space="preserve">SmartCiti.X~ Rad Survey VR</t>
  </si>
  <si>
    <t xml:space="preserve">select; sequence; turn; hold; gauge; track; drag; find</t>
  </si>
  <si>
    <t xml:space="preserve">radiograph-safety</t>
  </si>
  <si>
    <t xml:space="preserve">SmartCiti.X~ Radiograph Safety VR</t>
  </si>
  <si>
    <t xml:space="preserve">select; drag; sequence; turn; gauge; hold; find</t>
  </si>
  <si>
    <t xml:space="preserve">rbs-service-capstone</t>
  </si>
  <si>
    <t xml:space="preserve">SmartCiti.X~ RBS Service Capstone VR</t>
  </si>
  <si>
    <t xml:space="preserve">select; find; sequence; turn; track; gauge; hold; drag</t>
  </si>
  <si>
    <t xml:space="preserve">rcl-switching</t>
  </si>
  <si>
    <t xml:space="preserve">SmartCiti.X~ RCL Switching VR</t>
  </si>
  <si>
    <t xml:space="preserve">select; sequence; gauge; track; turn; hold; drag; find</t>
  </si>
  <si>
    <t xml:space="preserve">receiving-dock-food</t>
  </si>
  <si>
    <t xml:space="preserve">SmartCiti.X~ Receiving Dock Food VR</t>
  </si>
  <si>
    <t xml:space="preserve">select; gauge; sequence; hold; find; drag; turn; track</t>
  </si>
  <si>
    <t xml:space="preserve">reefer-yard-monitoring</t>
  </si>
  <si>
    <t xml:space="preserve">SmartCiti.X~ Reefer Yard Monitoring VR</t>
  </si>
  <si>
    <t xml:space="preserve">select; sequence; hold; turn; gauge; track; find</t>
  </si>
  <si>
    <t xml:space="preserve">results-return-visit</t>
  </si>
  <si>
    <t xml:space="preserve">SmartCiti.X~ Results Return Visit VR</t>
  </si>
  <si>
    <t xml:space="preserve">find; select; track; gauge; hold; drag; turn; sequence</t>
  </si>
  <si>
    <t xml:space="preserve">retest-witnessing</t>
  </si>
  <si>
    <t xml:space="preserve">SmartCiti.X~ Retest Witnessing VR</t>
  </si>
  <si>
    <t xml:space="preserve">sequence; select; drag; gauge; turn; track; hold</t>
  </si>
  <si>
    <t xml:space="preserve">rf-below-grade-waterproofing-and-drainage-board</t>
  </si>
  <si>
    <t xml:space="preserve">SmartCiti.X~ Below-Grade Waterproofing &amp; Drainage Board VR</t>
  </si>
  <si>
    <t xml:space="preserve">rf-green-roof-and-overburden-placement</t>
  </si>
  <si>
    <t xml:space="preserve">SmartCiti.X~ Green Roof &amp; Overburden Placement VR</t>
  </si>
  <si>
    <t xml:space="preserve">select; sequence; find; gauge; drag; hold; turn; track</t>
  </si>
  <si>
    <t xml:space="preserve">rf-hot-asphalt-kettle-and-mop</t>
  </si>
  <si>
    <t xml:space="preserve">SmartCiti.X~ Hot Asphalt Kettle &amp; Mop VR</t>
  </si>
  <si>
    <t xml:space="preserve">rf-roof-tear-off-and-debris-chute</t>
  </si>
  <si>
    <t xml:space="preserve">SmartCiti.X~ Roof Tear-Off &amp; Debris Chute VR</t>
  </si>
  <si>
    <t xml:space="preserve">rf-single-ply-tpo-heat-welding-and-seam-probe</t>
  </si>
  <si>
    <t xml:space="preserve">SmartCiti.X~ Single-Ply TPO Heat Welding &amp; Seam Probe VR</t>
  </si>
  <si>
    <t xml:space="preserve">rf-skylight-and-hatch-guarding</t>
  </si>
  <si>
    <t xml:space="preserve">SmartCiti.X~ Skylight &amp; Hatch Guarding VR</t>
  </si>
  <si>
    <t xml:space="preserve">rf-standing-seam-metal-panel-and-clip</t>
  </si>
  <si>
    <t xml:space="preserve">SmartCiti.X~ Standing-Seam Metal Panel &amp; Clip VR</t>
  </si>
  <si>
    <t xml:space="preserve">rf-torch-applied-membrane-and-fire-watch</t>
  </si>
  <si>
    <t xml:space="preserve">SmartCiti.X~ Torch-Applied Membrane &amp; Fire Watch VR</t>
  </si>
  <si>
    <t xml:space="preserve">rigging-loft</t>
  </si>
  <si>
    <t xml:space="preserve">SmartCiti.X~ Rigging Loft VR</t>
  </si>
  <si>
    <t xml:space="preserve">select; find; track; gauge; sequence; hold</t>
  </si>
  <si>
    <t xml:space="preserve">rl-critical-lift-plan-and-signalperson</t>
  </si>
  <si>
    <t xml:space="preserve">SmartCiti.X~ Critical Lift Plan &amp; Signalperson VR VR</t>
  </si>
  <si>
    <t xml:space="preserve">robot-cell</t>
  </si>
  <si>
    <t xml:space="preserve">SmartCiti.X~ Robot Cell VR</t>
  </si>
  <si>
    <t xml:space="preserve">select; turn; gauge; drag; sequence; hold</t>
  </si>
  <si>
    <t xml:space="preserve">sample-kit-shipping</t>
  </si>
  <si>
    <t xml:space="preserve">SmartCiti.X~ Sample Kit Shipping VR</t>
  </si>
  <si>
    <t xml:space="preserve">select; sequence; track; hold; drag; gauge; find</t>
  </si>
  <si>
    <t xml:space="preserve">sampling-well</t>
  </si>
  <si>
    <t xml:space="preserve">SmartCiti.X~ Sampling Well VR</t>
  </si>
  <si>
    <t xml:space="preserve">scaffold-erection</t>
  </si>
  <si>
    <t xml:space="preserve">SmartCiti.X~ Scaffold Erection VR</t>
  </si>
  <si>
    <t xml:space="preserve">select; sequence; drag; gauge; hold; find</t>
  </si>
  <si>
    <t xml:space="preserve">school-screening-outreach</t>
  </si>
  <si>
    <t xml:space="preserve">SmartCiti.X~ School Screening Outreach VR</t>
  </si>
  <si>
    <t xml:space="preserve">find; drag; turn; sequence; track; gauge; select; hold</t>
  </si>
  <si>
    <t xml:space="preserve">se-building-automation-alarm-triage</t>
  </si>
  <si>
    <t xml:space="preserve">SmartCiti.X~ Building Automation Alarm Triage VR VR</t>
  </si>
  <si>
    <t xml:space="preserve">select; sequence; gauge; turn; track; find; drag</t>
  </si>
  <si>
    <t xml:space="preserve">se-steam-trap-survey-and-condensate-return</t>
  </si>
  <si>
    <t xml:space="preserve">SmartCiti.X~ Steam Trap Survey &amp; Condensate Return VR VR</t>
  </si>
  <si>
    <t xml:space="preserve">select; sequence; gauge; track; find; drag; turn; hold</t>
  </si>
  <si>
    <t xml:space="preserve">sediment-cap</t>
  </si>
  <si>
    <t xml:space="preserve">SmartCiti.X~ Sediment Cap VR</t>
  </si>
  <si>
    <t xml:space="preserve">sensor-colocation-check</t>
  </si>
  <si>
    <t xml:space="preserve">SmartCiti.X~ Sensor Co-Location Check VR</t>
  </si>
  <si>
    <t xml:space="preserve">select; sequence; turn; gauge; track; find</t>
  </si>
  <si>
    <t xml:space="preserve">serger-overlock</t>
  </si>
  <si>
    <t xml:space="preserve">SmartCiti.X~ Serger and Overlock VR</t>
  </si>
  <si>
    <t xml:space="preserve">sewing-ergonomics-shift</t>
  </si>
  <si>
    <t xml:space="preserve">SmartCiti.X~ Sewing Ergonomics VR</t>
  </si>
  <si>
    <t xml:space="preserve">select; turn; gauge; drag; track; hold; sequence; find</t>
  </si>
  <si>
    <t xml:space="preserve">sharps-exposure-response</t>
  </si>
  <si>
    <t xml:space="preserve">SmartCiti.X~ Sharps Exposure Response VR</t>
  </si>
  <si>
    <t xml:space="preserve">select; track; hold; sequence; gauge; find</t>
  </si>
  <si>
    <t xml:space="preserve">shelter-in-place-drill</t>
  </si>
  <si>
    <t xml:space="preserve">SmartCiti.X~ Shelter-in-Place Drill VR</t>
  </si>
  <si>
    <t xml:space="preserve">select; sequence; turn; gauge; hold; find; track</t>
  </si>
  <si>
    <t xml:space="preserve">shelter-intake-operations</t>
  </si>
  <si>
    <t xml:space="preserve">SmartCiti.X~ Shelter Intake Operations VR</t>
  </si>
  <si>
    <t xml:space="preserve">select; turn; sequence; drag; gauge; find; hold; track</t>
  </si>
  <si>
    <t xml:space="preserve">shipyard-hotwork</t>
  </si>
  <si>
    <t xml:space="preserve">SmartCiti.X~ Shipyard Hot Work VR</t>
  </si>
  <si>
    <t xml:space="preserve">find; select; drag; turn; gauge; sequence; track; hold</t>
  </si>
  <si>
    <t xml:space="preserve">shore-power-hookup</t>
  </si>
  <si>
    <t xml:space="preserve">SmartCiti.X~ Shore Power Hookup VR</t>
  </si>
  <si>
    <t xml:space="preserve">select; sequence; drag; track; gauge; turn; hold; find</t>
  </si>
  <si>
    <t xml:space="preserve">shoreline-sediment-grab</t>
  </si>
  <si>
    <t xml:space="preserve">SmartCiti.X~ Shoreline Sediment Grab VR</t>
  </si>
  <si>
    <t xml:space="preserve">signal-cabinet</t>
  </si>
  <si>
    <t xml:space="preserve">SmartCiti.X~ Signal Cabinet VR</t>
  </si>
  <si>
    <t xml:space="preserve">select; sequence; turn; find; gauge; hold; drag</t>
  </si>
  <si>
    <t xml:space="preserve">slicer-lockout</t>
  </si>
  <si>
    <t xml:space="preserve">SmartCiti.X~ Slicer Lockout VR</t>
  </si>
  <si>
    <t xml:space="preserve">select; turn; drag; track; hold; find</t>
  </si>
  <si>
    <t xml:space="preserve">sm-air-balancing-and-testing</t>
  </si>
  <si>
    <t xml:space="preserve">SmartCiti.X~ Air Balancing and Testing VR</t>
  </si>
  <si>
    <t xml:space="preserve">select; sequence; drag; gauge; turn; track; hold; find</t>
  </si>
  <si>
    <t xml:space="preserve">sm-architectural-panels-at-height</t>
  </si>
  <si>
    <t xml:space="preserve">SmartCiti.X~ Architectural Panels at Height VR</t>
  </si>
  <si>
    <t xml:space="preserve">select; gauge; sequence; drag; turn; hold; track; find</t>
  </si>
  <si>
    <t xml:space="preserve">sm-duct-fabrication-and-seams</t>
  </si>
  <si>
    <t xml:space="preserve">SmartCiti.X~ Duct Fabrication and Seams VR</t>
  </si>
  <si>
    <t xml:space="preserve">sm-duct-hanging-and-seismic-bracing</t>
  </si>
  <si>
    <t xml:space="preserve">SmartCiti.X~ Duct Hanging and Seismic Bracing VR</t>
  </si>
  <si>
    <t xml:space="preserve">select; sequence; drag; turn; hold; track; gauge; find</t>
  </si>
  <si>
    <t xml:space="preserve">sm-kitchen-exhaust-and-fire-wrap</t>
  </si>
  <si>
    <t xml:space="preserve">SmartCiti.X~ Kitchen Exhaust and Fire Wrap VR</t>
  </si>
  <si>
    <t xml:space="preserve">select; sequence; drag; track; hold; turn; gauge; find</t>
  </si>
  <si>
    <t xml:space="preserve">sm-plasma-table-and-fume</t>
  </si>
  <si>
    <t xml:space="preserve">SmartCiti.X~ Plasma Table and Fume VR</t>
  </si>
  <si>
    <t xml:space="preserve">select; sequence; turn; gauge; drag; track; hold; find</t>
  </si>
  <si>
    <t xml:space="preserve">sm-shop-layout-and-shear</t>
  </si>
  <si>
    <t xml:space="preserve">SmartCiti.X~ Shop Layout and Shear VR</t>
  </si>
  <si>
    <t xml:space="preserve">select; sequence; drag; gauge; turn; find; hold; track</t>
  </si>
  <si>
    <t xml:space="preserve">sm-tig-and-spot-welding</t>
  </si>
  <si>
    <t xml:space="preserve">SmartCiti.X~ TIG and Spot Welding VR</t>
  </si>
  <si>
    <t xml:space="preserve">smoke-day-outreach</t>
  </si>
  <si>
    <t xml:space="preserve">SmartCiti.X~ Smoke Day Outreach VR</t>
  </si>
  <si>
    <t xml:space="preserve">select; sequence; drag; gauge; turn; hold; track</t>
  </si>
  <si>
    <t xml:space="preserve">soil-loadout</t>
  </si>
  <si>
    <t xml:space="preserve">SmartCiti.X~ Soil Loadout VR</t>
  </si>
  <si>
    <t xml:space="preserve">air-quality-monitoring; hunters-point-bay-restoration</t>
  </si>
  <si>
    <t xml:space="preserve">sequence; select; gauge; drag; turn; hold; track; find</t>
  </si>
  <si>
    <t xml:space="preserve">solar-deck</t>
  </si>
  <si>
    <t xml:space="preserve">SmartCiti.X~ Solar Deck VR</t>
  </si>
  <si>
    <t xml:space="preserve">select; hold; find; turn; gauge; sequence</t>
  </si>
  <si>
    <t xml:space="preserve">spartina-removal</t>
  </si>
  <si>
    <t xml:space="preserve">SmartCiti.X~ Spartina Removal VR</t>
  </si>
  <si>
    <t xml:space="preserve">special-needs-and-geriatric-dentistry</t>
  </si>
  <si>
    <t xml:space="preserve">SmartCiti.X~ Special Needs &amp; Geriatric Dentistry VR</t>
  </si>
  <si>
    <t xml:space="preserve">spiked-drink-response</t>
  </si>
  <si>
    <t xml:space="preserve">SmartCiti.X~ Spiked Drink Response VR</t>
  </si>
  <si>
    <t xml:space="preserve">find; select; drag; turn; gauge; hold; sequence; track</t>
  </si>
  <si>
    <t xml:space="preserve">spill-boom-deploy</t>
  </si>
  <si>
    <t xml:space="preserve">SmartCiti.X~ Spill Boom Deploy VR</t>
  </si>
  <si>
    <t xml:space="preserve">turn; sequence; select; drag; track; gauge; hold; find</t>
  </si>
  <si>
    <t xml:space="preserve">splice-node</t>
  </si>
  <si>
    <t xml:space="preserve">SmartCiti.X~ Splice Node VR</t>
  </si>
  <si>
    <t xml:space="preserve">select; turn; drag; gauge; find; sequence; hold</t>
  </si>
  <si>
    <t xml:space="preserve">stack-test</t>
  </si>
  <si>
    <t xml:space="preserve">SmartCiti.X~ Stack Test VR</t>
  </si>
  <si>
    <t xml:space="preserve">select; sequence; gauge; hold; turn; drag; track; find</t>
  </si>
  <si>
    <t xml:space="preserve">stage-load-in-and-truss-rigging</t>
  </si>
  <si>
    <t xml:space="preserve">SmartCiti.X~ Stage Load-In &amp; Truss Rigging VR</t>
  </si>
  <si>
    <t xml:space="preserve">stage-power</t>
  </si>
  <si>
    <t xml:space="preserve">SmartCiti.X~ Stage Power VR</t>
  </si>
  <si>
    <t xml:space="preserve">select; turn; sequence; gauge; hold; find</t>
  </si>
  <si>
    <t xml:space="preserve">steel-erector</t>
  </si>
  <si>
    <t xml:space="preserve">SmartCiti.X~ Steel Erector VR</t>
  </si>
  <si>
    <t xml:space="preserve">bay-area-union-edition; bridge-and-structural; fall-protection; situational-awareness</t>
  </si>
  <si>
    <t xml:space="preserve">select; find; drag; hold; gauge; sequence</t>
  </si>
  <si>
    <t xml:space="preserve">sterilisation-technician-cycle</t>
  </si>
  <si>
    <t xml:space="preserve">SmartCiti.X~ Sterilisation Centre VR</t>
  </si>
  <si>
    <t xml:space="preserve">select; sequence; drag; hold; gauge; find; turn; track</t>
  </si>
  <si>
    <t xml:space="preserve">stormwater-outfall</t>
  </si>
  <si>
    <t xml:space="preserve">SmartCiti.X~ Stormwater Outfall VR</t>
  </si>
  <si>
    <t xml:space="preserve">straddle-carrier-ops</t>
  </si>
  <si>
    <t xml:space="preserve">SmartCiti.X~ Straddle Carrier Ops VR</t>
  </si>
  <si>
    <t xml:space="preserve">sequence; select; find; hold; track; gauge; turn; drag</t>
  </si>
  <si>
    <t xml:space="preserve">structure-fire-sizeup</t>
  </si>
  <si>
    <t xml:space="preserve">SmartCiti.X~ Structure Fire Size-Up VR</t>
  </si>
  <si>
    <t xml:space="preserve">find; sequence; drag; turn; select; gauge; track; hold</t>
  </si>
  <si>
    <t xml:space="preserve">substation-switching</t>
  </si>
  <si>
    <t xml:space="preserve">SmartCiti.X~ Substation Switching VR</t>
  </si>
  <si>
    <t xml:space="preserve">electrical-first-period; energy-transition; situational-awareness</t>
  </si>
  <si>
    <t xml:space="preserve">select; sequence; turn; gauge; hold; find</t>
  </si>
  <si>
    <t xml:space="preserve">tank-lining</t>
  </si>
  <si>
    <t xml:space="preserve">SmartCiti.X~ Tank Lining VR</t>
  </si>
  <si>
    <t xml:space="preserve">select; drag; gauge; turn; track; find; hold</t>
  </si>
  <si>
    <t xml:space="preserve">tdl-air-brake-test</t>
  </si>
  <si>
    <t xml:space="preserve">SmartCiti.X~ Air Brake Test VR</t>
  </si>
  <si>
    <t xml:space="preserve">select; drag; track; gauge; turn; sequence; hold; find</t>
  </si>
  <si>
    <t xml:space="preserve">tdl-backing-and-docking</t>
  </si>
  <si>
    <t xml:space="preserve">SmartCiti.X~ Backing and Docking VR</t>
  </si>
  <si>
    <t xml:space="preserve">tdl-cargo-securement-and-hours</t>
  </si>
  <si>
    <t xml:space="preserve">SmartCiti.X~ Cargo Securement and Hours VR</t>
  </si>
  <si>
    <t xml:space="preserve">select; gauge; find; drag; turn; track; hold; sequence</t>
  </si>
  <si>
    <t xml:space="preserve">tdl-coupling-and-uncoupling</t>
  </si>
  <si>
    <t xml:space="preserve">SmartCiti.X~ Coupling and Uncoupling VR</t>
  </si>
  <si>
    <t xml:space="preserve">select; find; drag; gauge; sequence; track; hold; turn</t>
  </si>
  <si>
    <t xml:space="preserve">tdl-hazmat-labeling-and-segregation</t>
  </si>
  <si>
    <t xml:space="preserve">SmartCiti.X~ Hazmat Labeling and Segregation VR</t>
  </si>
  <si>
    <t xml:space="preserve">tdl-lifting-and-ergonomics</t>
  </si>
  <si>
    <t xml:space="preserve">SmartCiti.X~ Lifting and Ergonomics VR</t>
  </si>
  <si>
    <t xml:space="preserve">select; sequence; gauge; find; turn; hold; drag; track</t>
  </si>
  <si>
    <t xml:space="preserve">tdl-pallet-jack-and-racking</t>
  </si>
  <si>
    <t xml:space="preserve">SmartCiti.X~ Pallet Jack and Racking VR</t>
  </si>
  <si>
    <t xml:space="preserve">tdl-pick-pack-and-scan</t>
  </si>
  <si>
    <t xml:space="preserve">SmartCiti.X~ Pick, Pack and Scan VR</t>
  </si>
  <si>
    <t xml:space="preserve">select; sequence; find; track; drag; hold; turn; gauge</t>
  </si>
  <si>
    <t xml:space="preserve">tdl-pretrip-inspection</t>
  </si>
  <si>
    <t xml:space="preserve">SmartCiti.X~ Pre-Trip Inspection VR</t>
  </si>
  <si>
    <t xml:space="preserve">tdl-trailer-loading-and-dock-plate</t>
  </si>
  <si>
    <t xml:space="preserve">SmartCiti.X~ Trailer Loading and Dock Plate VR</t>
  </si>
  <si>
    <t xml:space="preserve">select; find; sequence; hold; gauge; drag; track; turn</t>
  </si>
  <si>
    <t xml:space="preserve">teledentistry-and-triage</t>
  </si>
  <si>
    <t xml:space="preserve">SmartCiti.X~ Teledentistry &amp; Triage VR</t>
  </si>
  <si>
    <t xml:space="preserve">temporary-site-power</t>
  </si>
  <si>
    <t xml:space="preserve">SmartCiti.X~ Temporary Site Power VR</t>
  </si>
  <si>
    <t xml:space="preserve">select; sequence; gauge; turn; drag; find</t>
  </si>
  <si>
    <t xml:space="preserve">tide-gate</t>
  </si>
  <si>
    <t xml:space="preserve">SmartCiti.X~ Tide Gate VR</t>
  </si>
  <si>
    <t xml:space="preserve">select; gauge; sequence; hold; find; drag; track</t>
  </si>
  <si>
    <t xml:space="preserve">till-drop-robbery</t>
  </si>
  <si>
    <t xml:space="preserve">SmartCiti.X~ Till Drop &amp; Robbery Response VR</t>
  </si>
  <si>
    <t xml:space="preserve">select; hold; gauge; sequence; track; drag; turn; find</t>
  </si>
  <si>
    <t xml:space="preserve">tip-pool-labor</t>
  </si>
  <si>
    <t xml:space="preserve">SmartCiti.X~ Tip Pool &amp; Labor VR</t>
  </si>
  <si>
    <t xml:space="preserve">hold; select; sequence; gauge; drag; find; turn</t>
  </si>
  <si>
    <t xml:space="preserve">tower-climb</t>
  </si>
  <si>
    <t xml:space="preserve">SmartCiti.X~ Tower Climb VR</t>
  </si>
  <si>
    <t xml:space="preserve">fall-protection; situational-awareness</t>
  </si>
  <si>
    <t xml:space="preserve">tr-wheelchair-lift-and-securement-on-a-bus</t>
  </si>
  <si>
    <t xml:space="preserve">SmartCiti.X~ Wheelchair Lift &amp; Securement on a Bus VR VR</t>
  </si>
  <si>
    <t xml:space="preserve">select; sequence; find; hold; drag; turn; gauge; track</t>
  </si>
  <si>
    <t xml:space="preserve">track-access</t>
  </si>
  <si>
    <t xml:space="preserve">SmartCiti.X~ Track Access VR</t>
  </si>
  <si>
    <t xml:space="preserve">select; turn; gauge; sequence; drag; find</t>
  </si>
  <si>
    <t xml:space="preserve">trades-lineage-briefing</t>
  </si>
  <si>
    <t xml:space="preserve">SmartCiti.X~ Trades Lineage Briefing VR</t>
  </si>
  <si>
    <t xml:space="preserve">traffic-incident-management</t>
  </si>
  <si>
    <t xml:space="preserve">SmartCiti.X~ Traffic Incident Management VR</t>
  </si>
  <si>
    <t xml:space="preserve">find; drag; select; gauge; sequence; turn; track; hold</t>
  </si>
  <si>
    <t xml:space="preserve">transformer-vault</t>
  </si>
  <si>
    <t xml:space="preserve">SmartCiti.X~ Transformer Vault VR</t>
  </si>
  <si>
    <t xml:space="preserve">select; sequence; gauge; turn; hold; find</t>
  </si>
  <si>
    <t xml:space="preserve">transite-pipe-removal</t>
  </si>
  <si>
    <t xml:space="preserve">SmartCiti.X~ Transite Pipe Removal VR</t>
  </si>
  <si>
    <t xml:space="preserve">select; turn; sequence; find; gauge; hold; track; drag</t>
  </si>
  <si>
    <t xml:space="preserve">trauma-informed-intake</t>
  </si>
  <si>
    <t xml:space="preserve">SmartCiti.X~ Trauma-Informed Intake VR</t>
  </si>
  <si>
    <t xml:space="preserve">drag; turn; find; select; hold; sequence; track</t>
  </si>
  <si>
    <t xml:space="preserve">trench-box</t>
  </si>
  <si>
    <t xml:space="preserve">SmartCiti.X~ Trench Box VR</t>
  </si>
  <si>
    <t xml:space="preserve">sequence; select; find; gauge; drag; hold</t>
  </si>
  <si>
    <t xml:space="preserve">triage-point</t>
  </si>
  <si>
    <t xml:space="preserve">SmartCiti.X~ Triage Point VR</t>
  </si>
  <si>
    <t xml:space="preserve">first-responders; situational-awareness</t>
  </si>
  <si>
    <t xml:space="preserve">select; find; hold; drag; turn; sequence</t>
  </si>
  <si>
    <t xml:space="preserve">tw-amr-traffic-zone-entry-and-lockout</t>
  </si>
  <si>
    <t xml:space="preserve">SmartCiti.X~ AMR Traffic-Zone Entry &amp; Lockout VR</t>
  </si>
  <si>
    <t xml:space="preserve">sequence; select; find; turn; hold; gauge; track; drag</t>
  </si>
  <si>
    <t xml:space="preserve">tw-battery-change-and-charging-bay-safety</t>
  </si>
  <si>
    <t xml:space="preserve">SmartCiti.X~ Battery Change &amp; Charging Bay Safety VR</t>
  </si>
  <si>
    <t xml:space="preserve">sequence; select; find; turn; drag; hold; gauge</t>
  </si>
  <si>
    <t xml:space="preserve">tw-cold-storage-ppe-and-rotation</t>
  </si>
  <si>
    <t xml:space="preserve">SmartCiti.X~ Cold-Storage PPE &amp; Rotation VR</t>
  </si>
  <si>
    <t xml:space="preserve">sequence; select; find; turn; hold; drag; gauge</t>
  </si>
  <si>
    <t xml:space="preserve">tw-conveyor-jam-clearing-and-loto</t>
  </si>
  <si>
    <t xml:space="preserve">SmartCiti.X~ Conveyor Jam Clearing &amp; LOTO VR</t>
  </si>
  <si>
    <t xml:space="preserve">sequence; select; find; gauge; turn; drag; track</t>
  </si>
  <si>
    <t xml:space="preserve">tw-dock-leveler-and-trailer-restraint-check</t>
  </si>
  <si>
    <t xml:space="preserve">SmartCiti.X~ Dock Leveler &amp; Trailer Restraint Check VR</t>
  </si>
  <si>
    <t xml:space="preserve">tw-high-bay-order-picker-fall-protection</t>
  </si>
  <si>
    <t xml:space="preserve">SmartCiti.X~ High-Bay Order Picker Fall Protection VR</t>
  </si>
  <si>
    <t xml:space="preserve">sequence; select; find; drag; hold; gauge; track</t>
  </si>
  <si>
    <t xml:space="preserve">tw-palletizer-cell-fenced-access-permit</t>
  </si>
  <si>
    <t xml:space="preserve">SmartCiti.X~ Palletizer Cell Fenced-Access Permit VR</t>
  </si>
  <si>
    <t xml:space="preserve">tw-pick-to-light-ergonomics-and-rotation</t>
  </si>
  <si>
    <t xml:space="preserve">SmartCiti.X~ Pick-to-Light Ergonomics &amp; Rotation VR</t>
  </si>
  <si>
    <t xml:space="preserve">sequence; select; find; turn; hold; gauge; drag; track</t>
  </si>
  <si>
    <t xml:space="preserve">ultrasonic-scaling</t>
  </si>
  <si>
    <t xml:space="preserve">SmartCiti.X~ Ultrasonic Scaling VR</t>
  </si>
  <si>
    <t xml:space="preserve">select; find; hold; sequence; gauge; track</t>
  </si>
  <si>
    <t xml:space="preserve">union-hall-and-dispatch</t>
  </si>
  <si>
    <t xml:space="preserve">SmartCiti.X~ Union Hall &amp; Dispatch VR</t>
  </si>
  <si>
    <t xml:space="preserve">select; find; hold; drag; gauge; sequence; turn; track</t>
  </si>
  <si>
    <t xml:space="preserve">ust-removal</t>
  </si>
  <si>
    <t xml:space="preserve">SmartCiti.X~ UST Removal VR</t>
  </si>
  <si>
    <t xml:space="preserve">select; hold; gauge; sequence; drag; track; find</t>
  </si>
  <si>
    <t xml:space="preserve">ut-cathodic-protection-test-station-reading</t>
  </si>
  <si>
    <t xml:space="preserve">SmartCiti.X~ Cathodic Protection Test-Station Reading VR</t>
  </si>
  <si>
    <t xml:space="preserve">select; sequence; find; drag; gauge; turn; track; hold</t>
  </si>
  <si>
    <t xml:space="preserve">ut-gas-meter-set-and-regulator-vent</t>
  </si>
  <si>
    <t xml:space="preserve">SmartCiti.X~ Gas Meter Set &amp; Regulator Vent Check VR</t>
  </si>
  <si>
    <t xml:space="preserve">ut-hydrant-flow-test-and-flushing-with-traffic-control</t>
  </si>
  <si>
    <t xml:space="preserve">SmartCiti.X~ Hydrant Flow Test &amp; Flushing VR</t>
  </si>
  <si>
    <t xml:space="preserve">select; sequence; find; drag; gauge; turn; hold; track</t>
  </si>
  <si>
    <t xml:space="preserve">ut-night-storm-response-crew-and-portable-generator</t>
  </si>
  <si>
    <t xml:space="preserve">SmartCiti.X~ Night Storm-Response Crew &amp; Portable Generator VR</t>
  </si>
  <si>
    <t xml:space="preserve">select; find; drive; sequence; drag; turn; gauge; track; hold</t>
  </si>
  <si>
    <t xml:space="preserve">ut-pe-pipe-fusion-and-squeeze-off</t>
  </si>
  <si>
    <t xml:space="preserve">SmartCiti.X~ PE Pipe Fusion &amp; Squeeze-Off VR</t>
  </si>
  <si>
    <t xml:space="preserve">select; find; sequence; hold; drag; gauge; turn; track</t>
  </si>
  <si>
    <t xml:space="preserve">ut-service-line-locate-and-hand-dig-near-gas-main</t>
  </si>
  <si>
    <t xml:space="preserve">SmartCiti.X~ Service-Line Locate &amp; Hand-Dig VR</t>
  </si>
  <si>
    <t xml:space="preserve">select; find; sequence; hold; gauge; turn; drag; track</t>
  </si>
  <si>
    <t xml:space="preserve">ut-water-main-break-emergency-shutdown-and-excavation</t>
  </si>
  <si>
    <t xml:space="preserve">SmartCiti.X~ Water Main Break Emergency Shutdown VR</t>
  </si>
  <si>
    <t xml:space="preserve">select; sequence; find; turn; gauge; track; hold; drag</t>
  </si>
  <si>
    <t xml:space="preserve">ut-water-treatment-chemical-delivery-unloading</t>
  </si>
  <si>
    <t xml:space="preserve">SmartCiti.X~ Water Treatment Chemical Delivery Unloading VR</t>
  </si>
  <si>
    <t xml:space="preserve">select; find; sequence; drag; gauge; turn; hold; track</t>
  </si>
  <si>
    <t xml:space="preserve">uw-bridge-pier-scour-survey</t>
  </si>
  <si>
    <t xml:space="preserve">SmartCiti.X~ Bridge Pier Scour Survey VR</t>
  </si>
  <si>
    <t xml:space="preserve">select; find; turn; track; gauge; hold; drag; sequence</t>
  </si>
  <si>
    <t xml:space="preserve">uw-intake-screen-cleaning-with-lockout</t>
  </si>
  <si>
    <t xml:space="preserve">SmartCiti.X~ Intake Screen Cleaning With Lockout VR</t>
  </si>
  <si>
    <t xml:space="preserve">find; sequence; select; turn; track; gauge; drag; hold</t>
  </si>
  <si>
    <t xml:space="preserve">uw-lift-bag-rigging-and-object-recovery</t>
  </si>
  <si>
    <t xml:space="preserve">SmartCiti.X~ Lift Bag Rigging &amp; Object Recovery VR</t>
  </si>
  <si>
    <t xml:space="preserve">uw-pipeline-crossing-inspection-dive</t>
  </si>
  <si>
    <t xml:space="preserve">SmartCiti.X~ Pipeline Crossing Inspection Dive VR</t>
  </si>
  <si>
    <t xml:space="preserve">select; find; turn; track; gauge; drag; hold; sequence</t>
  </si>
  <si>
    <t xml:space="preserve">uw-rov-pre-dive-and-tether-management</t>
  </si>
  <si>
    <t xml:space="preserve">SmartCiti.X~ ROV Pre-Dive &amp; Tether Management VR</t>
  </si>
  <si>
    <t xml:space="preserve">select; find; sequence; drag; turn; gauge; hold; track</t>
  </si>
  <si>
    <t xml:space="preserve">uw-underwater-concrete-and-bag-placement</t>
  </si>
  <si>
    <t xml:space="preserve">SmartCiti.X~ Underwater Concrete &amp; Bag Placement VR</t>
  </si>
  <si>
    <t xml:space="preserve">select; find; sequence; drag; track; turn; gauge; hold</t>
  </si>
  <si>
    <t xml:space="preserve">valve-vault</t>
  </si>
  <si>
    <t xml:space="preserve">SmartCiti.X~ Valve Vault VR</t>
  </si>
  <si>
    <t xml:space="preserve">select; sequence; drag; gauge; hold</t>
  </si>
  <si>
    <t xml:space="preserve">vapor-mitigation</t>
  </si>
  <si>
    <t xml:space="preserve">SmartCiti.X~ Vapor Mitigation VR</t>
  </si>
  <si>
    <t xml:space="preserve">select; find; track; sequence; drag; turn; gauge; hold</t>
  </si>
  <si>
    <t xml:space="preserve">vessel-gangway-and-hatch-cover-safety</t>
  </si>
  <si>
    <t xml:space="preserve">SmartCiti.X~ Vessel Gangway &amp; Hatch Cover Safety VR</t>
  </si>
  <si>
    <t xml:space="preserve">find; sequence; gauge; hold; select; drag; turn; track</t>
  </si>
  <si>
    <t xml:space="preserve">walk-in-cooler</t>
  </si>
  <si>
    <t xml:space="preserve">SmartCiti.X~ Walk-In Cooler VR</t>
  </si>
  <si>
    <t xml:space="preserve">select; hold; gauge; find; sequence; drag; track</t>
  </si>
  <si>
    <t xml:space="preserve">well-install</t>
  </si>
  <si>
    <t xml:space="preserve">SmartCiti.X~ Well Install VR</t>
  </si>
  <si>
    <t xml:space="preserve">select; find; sequence; track; gauge; drag; hold; turn</t>
  </si>
  <si>
    <t xml:space="preserve">wellness-asking-for-help-and-resources</t>
  </si>
  <si>
    <t xml:space="preserve">SmartCiti.X~ Wellness — Asking for Help and Resources VR</t>
  </si>
  <si>
    <t xml:space="preserve">find; gauge; sequence; select; drag; turn; hold; track</t>
  </si>
  <si>
    <t xml:space="preserve">wellness-peer-support-conversation</t>
  </si>
  <si>
    <t xml:space="preserve">SmartCiti.X~ Wellness — Peer Support Conversation VR</t>
  </si>
  <si>
    <t xml:space="preserve">find; turn; drag; select; sequence; track; gauge; hold</t>
  </si>
  <si>
    <t xml:space="preserve">wellness-shift-work-sleep-and-stress</t>
  </si>
  <si>
    <t xml:space="preserve">SmartCiti.X~ Wellness — Shift Work, Sleep and Stress VR</t>
  </si>
  <si>
    <t xml:space="preserve">find; gauge; sequence; track; turn; select; drag; hold</t>
  </si>
  <si>
    <t xml:space="preserve">wellness-substance-use-and-the-job</t>
  </si>
  <si>
    <t xml:space="preserve">SmartCiti.X~ Wellness — Substance Use and the Job VR</t>
  </si>
  <si>
    <t xml:space="preserve">find; select; turn; drag; sequence; track; gauge; hold</t>
  </si>
  <si>
    <t xml:space="preserve">who-after-action-review</t>
  </si>
  <si>
    <t xml:space="preserve">SmartCiti.X~ After-Action Review VR</t>
  </si>
  <si>
    <t xml:space="preserve">select; turn; sequence; find; drag; hold; gauge; track</t>
  </si>
  <si>
    <t xml:space="preserve">who-contact-tracing-visit</t>
  </si>
  <si>
    <t xml:space="preserve">SmartCiti.X~ Contact Tracing Visit VR</t>
  </si>
  <si>
    <t xml:space="preserve">select; sequence; gauge; hold; find; track; drag; turn</t>
  </si>
  <si>
    <t xml:space="preserve">who-isolation-ward-setup</t>
  </si>
  <si>
    <t xml:space="preserve">SmartCiti.X~ Isolation Ward Setup VR</t>
  </si>
  <si>
    <t xml:space="preserve">select; sequence; drag; gauge; turn; track; find; hold</t>
  </si>
  <si>
    <t xml:space="preserve">who-ppe-donning-and-doffing</t>
  </si>
  <si>
    <t xml:space="preserve">SmartCiti.X~ PPE Donning and Doffing VR</t>
  </si>
  <si>
    <t xml:space="preserve">find; drag; turn; track; sequence; hold; select; gauge</t>
  </si>
  <si>
    <t xml:space="preserve">who-risk-communication-and-community-engagement</t>
  </si>
  <si>
    <t xml:space="preserve">SmartCiti.X~ Risk Communication and Community Engagement VR</t>
  </si>
  <si>
    <t xml:space="preserve">who-safe-and-dignified-burial</t>
  </si>
  <si>
    <t xml:space="preserve">SmartCiti.X~ Safe and Dignified Burial VR</t>
  </si>
  <si>
    <t xml:space="preserve">select; hold; sequence; gauge; turn; find; track; drag</t>
  </si>
  <si>
    <t xml:space="preserve">who-surveillance-and-case-definition</t>
  </si>
  <si>
    <t xml:space="preserve">SmartCiti.X~ Surveillance and Case Definition VR</t>
  </si>
  <si>
    <t xml:space="preserve">select; sequence; drag; find; turn; hold; gauge; track</t>
  </si>
  <si>
    <t xml:space="preserve">who-treatment-centre-triage</t>
  </si>
  <si>
    <t xml:space="preserve">SmartCiti.X~ Treatment Centre Triage VR</t>
  </si>
  <si>
    <t xml:space="preserve">select; drag; turn; gauge; track; sequence; find; hold</t>
  </si>
  <si>
    <t xml:space="preserve">who-vaccination-line</t>
  </si>
  <si>
    <t xml:space="preserve">SmartCiti.X~ Vaccination Line VR</t>
  </si>
  <si>
    <t xml:space="preserve">select; gauge; find; turn; sequence; hold; drag; track</t>
  </si>
  <si>
    <t xml:space="preserve">who-water-sanitation-and-hygiene</t>
  </si>
  <si>
    <t xml:space="preserve">SmartCiti.X~ Water, Sanitation and Hygiene VR</t>
  </si>
  <si>
    <t xml:space="preserve">select; sequence; gauge; track; hold; turn; drag; find</t>
  </si>
  <si>
    <t xml:space="preserve">wildland-urban-interface</t>
  </si>
  <si>
    <t xml:space="preserve">SmartCiti.X~ Wildland-Urban Interface VR</t>
  </si>
  <si>
    <t xml:space="preserve">sequence; select; gauge; find; drag; turn</t>
  </si>
  <si>
    <t xml:space="preserve">wind-nacelle</t>
  </si>
  <si>
    <t xml:space="preserve">SmartCiti.X~ Wind Nacelle VR</t>
  </si>
  <si>
    <t xml:space="preserve">wp-apprenticeship-enrollment-day</t>
  </si>
  <si>
    <t xml:space="preserve">SmartCiti.X~ Apprenticeship Enrollment Day VR</t>
  </si>
  <si>
    <t xml:space="preserve">select; find; sequence; hold; gauge; track; turn; drag</t>
  </si>
  <si>
    <t xml:space="preserve">wp-employer-meet-and-greet</t>
  </si>
  <si>
    <t xml:space="preserve">SmartCiti.X~ Employer Meet-and-Greet VR</t>
  </si>
  <si>
    <t xml:space="preserve">select; hold; find; sequence; gauge; track; drag; turn</t>
  </si>
  <si>
    <t xml:space="preserve">wp-first-paycheck-coaching</t>
  </si>
  <si>
    <t xml:space="preserve">SmartCiti.X~ First-Paycheck Coaching VR</t>
  </si>
  <si>
    <t xml:space="preserve">wp-graduation-and-alumni-mentors</t>
  </si>
  <si>
    <t xml:space="preserve">SmartCiti.X~ Graduation and Alumni-Mentor Day VR</t>
  </si>
  <si>
    <t xml:space="preserve">select; sequence; hold; find; gauge; track; drag; turn</t>
  </si>
  <si>
    <t xml:space="preserve">wp-intake-and-pathway-planning</t>
  </si>
  <si>
    <t xml:space="preserve">SmartCiti.X~ Intake and Pathway Planning VR</t>
  </si>
  <si>
    <t xml:space="preserve">select; find; hold; gauge; track; drag; sequence; turn</t>
  </si>
  <si>
    <t xml:space="preserve">wp-mock-interview-and-resume</t>
  </si>
  <si>
    <t xml:space="preserve">SmartCiti.X~ Mock Interview and Resume VR</t>
  </si>
  <si>
    <t xml:space="preserve">select; hold; find; sequence; gauge; track; turn; drag</t>
  </si>
  <si>
    <t xml:space="preserve">wp-permit-study-and-knowledge-test</t>
  </si>
  <si>
    <t xml:space="preserve">SmartCiti.X~ Permit Study and Knowledge-Test Day VR</t>
  </si>
  <si>
    <t xml:space="preserve">select; hold; sequence; track; find; gauge; turn; drag</t>
  </si>
  <si>
    <t xml:space="preserve">wp-warehouse-ride-along</t>
  </si>
  <si>
    <t xml:space="preserve">SmartCiti.X~ Warehouse Ride-Along Day VR</t>
  </si>
  <si>
    <t xml:space="preserve">select; sequence; hold; find; drive; gauge; turn; drag</t>
  </si>
  <si>
    <t xml:space="preserve">wvpp-panic-button</t>
  </si>
  <si>
    <t xml:space="preserve">SmartCiti.X~ WVPP &amp; Panic Button VR</t>
  </si>
  <si>
    <t xml:space="preserve">select; sequence; find; drag; hold; gauge; turn</t>
  </si>
  <si>
    <t xml:space="preserve">yc-engine-room-pre-start-and-bilge-check</t>
  </si>
  <si>
    <t xml:space="preserve">SmartCiti.X~ Engine Room Pre-Start &amp; Bilge Check VR</t>
  </si>
  <si>
    <t xml:space="preserve">select; sequence; find; hold; turn; drag; gauge; track</t>
  </si>
  <si>
    <t xml:space="preserve">yc-fuel-dock-transfer-and-spill-kit</t>
  </si>
  <si>
    <t xml:space="preserve">SmartCiti.X~ Fuel Dock Transfer &amp; Spill Kit VR</t>
  </si>
  <si>
    <t xml:space="preserve">select; sequence; find; drag; hold; track; gauge; turn</t>
  </si>
  <si>
    <t xml:space="preserve">yc-galley-fire-and-fixed-system</t>
  </si>
  <si>
    <t xml:space="preserve">SmartCiti.X~ Galley Fire &amp; Fixed System VR</t>
  </si>
  <si>
    <t xml:space="preserve">yc-line-handling-and-docking-in-crosswind</t>
  </si>
  <si>
    <t xml:space="preserve">SmartCiti.X~ Line Handling &amp; Docking In A Crosswind VR</t>
  </si>
  <si>
    <t xml:space="preserve">select; sequence; find; drag; track; turn; hold; gauge</t>
  </si>
  <si>
    <t xml:space="preserve">yc-man-overboard-recovery-drill</t>
  </si>
  <si>
    <t xml:space="preserve">SmartCiti.X~ Man Overboard Recovery Drill VR</t>
  </si>
  <si>
    <t xml:space="preserve">select; drag; sequence; hold; track; gauge; turn</t>
  </si>
  <si>
    <t xml:space="preserve">yc-pre-departure-safety-briefing-and-guest-count</t>
  </si>
  <si>
    <t xml:space="preserve">SmartCiti.X~ Pre-Departure Safety Briefing &amp; Guest Count VR</t>
  </si>
  <si>
    <t xml:space="preserve">yc-shore-power-connection-and-in-water-electrical-safety</t>
  </si>
  <si>
    <t xml:space="preserve">SmartCiti.X~ Shore Power Connection &amp; In-Water Electrical Safety VR</t>
  </si>
  <si>
    <t xml:space="preserve">select; sequence; find; turn; drag; hold; gauge; track</t>
  </si>
  <si>
    <t xml:space="preserve">yc-tender-launch-and-guest-transfer</t>
  </si>
  <si>
    <t xml:space="preserve">SmartCiti.X~ Tender Launch &amp; Guest Transfer VR</t>
  </si>
  <si>
    <t xml:space="preserve">select; sequence; find; drag; track; turn; gauge; hold</t>
  </si>
  <si>
    <t xml:space="preserve">youth-patrol-training</t>
  </si>
  <si>
    <t xml:space="preserve">SmartCiti.X~ Youth Patrol Training VR</t>
  </si>
  <si>
    <t xml:space="preserve">sequence; find; select; drag; gauge; track; hold</t>
  </si>
  <si>
    <t xml:space="preserve">devops</t>
  </si>
  <si>
    <t xml:space="preserve">trades</t>
  </si>
  <si>
    <t xml:space="preserve">Deploy Bay</t>
  </si>
  <si>
    <t xml:space="preserve">Trade Skills Simulator</t>
  </si>
  <si>
    <t xml:space="preserve">select; find; sequence; drag; turn; gauge; hold</t>
  </si>
  <si>
    <t xml:space="preserve">electrical</t>
  </si>
  <si>
    <t xml:space="preserve">Isolation Bay</t>
  </si>
  <si>
    <t xml:space="preserve">electrical-first-period; situational-awareness</t>
  </si>
  <si>
    <t xml:space="preserve">select; find; drag; turn; gauge; sequence; hold</t>
  </si>
  <si>
    <t xml:space="preserve">kitchen</t>
  </si>
  <si>
    <t xml:space="preserve">Hot Line</t>
  </si>
  <si>
    <t xml:space="preserve">bartending-course; culinary-kitchen</t>
  </si>
  <si>
    <t xml:space="preserve">hold; select; gauge; drag; turn; sequence</t>
  </si>
  <si>
    <t xml:space="preserve">paint-sprayer</t>
  </si>
  <si>
    <t xml:space="preserve">Coatings Bay</t>
  </si>
  <si>
    <t xml:space="preserve">select; sequence; gauge; track; find</t>
  </si>
  <si>
    <t xml:space="preserve">phlebotomy</t>
  </si>
  <si>
    <t xml:space="preserve">Draw Station</t>
  </si>
  <si>
    <t xml:space="preserve">dental-hygiene-unspoken-smiles; situational-awareness</t>
  </si>
  <si>
    <t xml:space="preserve">find; select; drag; gauge; sequence; hold</t>
  </si>
  <si>
    <t xml:space="preserve">plumbing</t>
  </si>
  <si>
    <t xml:space="preserve">Rough-In Bay</t>
  </si>
  <si>
    <t xml:space="preserve">select; turn; hold; sequence; drag; gauge; find</t>
  </si>
  <si>
    <t xml:space="preserve">pressure-washer</t>
  </si>
  <si>
    <t xml:space="preserve">Wash-Down Yard</t>
  </si>
  <si>
    <t xml:space="preserve">select; drag; sequence; gauge; track; hold; find</t>
  </si>
  <si>
    <t xml:space="preserve">salon</t>
  </si>
  <si>
    <t xml:space="preserve">Colour Studio</t>
  </si>
  <si>
    <t xml:space="preserve">select; hold; drag; gauge; sequence; track</t>
  </si>
  <si>
    <t xml:space="preserve">welding</t>
  </si>
  <si>
    <t xml:space="preserve">Weld Bay</t>
  </si>
  <si>
    <t xml:space="preserve">select; drag; turn; sequence; gauge; hold</t>
  </si>
  <si>
    <t xml:space="preserve">family</t>
  </si>
  <si>
    <t xml:space="preserve">build</t>
  </si>
  <si>
    <t xml:space="preserve">footprint</t>
  </si>
  <si>
    <t xml:space="preserve">parts</t>
  </si>
  <si>
    <t xml:space="preserve">note</t>
  </si>
  <si>
    <t xml:space="preserve">stations</t>
  </si>
  <si>
    <t xml:space="preserve">unity</t>
  </si>
  <si>
    <t xml:space="preserve">source</t>
  </si>
  <si>
    <t xml:space="preserve">excavator</t>
  </si>
  <si>
    <t xml:space="preserve">equipment</t>
  </si>
  <si>
    <t xml:space="preserve">3.05 x 4.83 x 10.78</t>
  </si>
  <si>
    <t xml:space="preserve">trackL; trackR; house; door; boom; stick; bucket; lights; counterweight</t>
  </si>
  <si>
    <t xml:space="preserve">20 t tracked excavator, dig-ready</t>
  </si>
  <si>
    <t xml:space="preserve">br-barge-loading-of-contaminated-sediment; br-culvert-retrofit-for-fish-passage; br-dredge-material-screening-and-disposal-decision; br-dredge-spoils-dewatering-pad; br-legacy-mercury-and-pcb-hotspot-handling; br-turbidity-curtain-deployment; br-water-quality-sonde-calibration-and-deploy; op-excavator-trench-and-utility-locate</t>
  </si>
  <si>
    <t xml:space="preserve">yes</t>
  </si>
  <si>
    <t xml:space="preserve">WebXR/shared/equipment.js EQUIPMENT_BUDGET</t>
  </si>
  <si>
    <t xml:space="preserve">amphibiousExcavator</t>
  </si>
  <si>
    <t xml:space="preserve">4.65 x 5.21 x 10.81</t>
  </si>
  <si>
    <t xml:space="preserve">pontoonL; pontoonR; house; door; boom; stick; bucket; lights; counterweight</t>
  </si>
  <si>
    <t xml:space="preserve">amphibious pontoon excavator, dig-ready</t>
  </si>
  <si>
    <t xml:space="preserve">br-bird-nesting-buffer-and-work-window; br-tidal-marsh-grading-amphibious-excavator</t>
  </si>
  <si>
    <t xml:space="preserve">backhoe</t>
  </si>
  <si>
    <t xml:space="preserve">2.36 x 3.75 x 7.46</t>
  </si>
  <si>
    <t xml:space="preserve">loaderArms; loaderBucket; swingFrame; boom; stick; bucket; stabilizers; wheels; door; lights</t>
  </si>
  <si>
    <t xml:space="preserve">loader backhoe, travel pose</t>
  </si>
  <si>
    <t xml:space="preserve">skidSteer</t>
  </si>
  <si>
    <t xml:space="preserve">1.83 x 2.07 x 3.31</t>
  </si>
  <si>
    <t xml:space="preserve">arms; bucket; wheelsL; wheelsR; wheels; door; lights</t>
  </si>
  <si>
    <t xml:space="preserve">wheeled skid steer</t>
  </si>
  <si>
    <t xml:space="preserve">bt-rebar-tying-and-impalement-protection; ut-service-line-locate-and-hand-dig-near-gas-main</t>
  </si>
  <si>
    <t xml:space="preserve">dumpTruck</t>
  </si>
  <si>
    <t xml:space="preserve">3.02 x 3.26 x 9.57</t>
  </si>
  <si>
    <t xml:space="preserve">bed; tailgate; hoist; doorL; doorR; mirrorL; mirrorR; wheels; lights</t>
  </si>
  <si>
    <t xml:space="preserve">tri-axle dump truck</t>
  </si>
  <si>
    <t xml:space="preserve">br-legacy-mercury-and-pcb-hotspot-handling; mm-haul-truck-berm; op-loader-truck-loading-and-blind-spots</t>
  </si>
  <si>
    <t xml:space="preserve">mobileCrane</t>
  </si>
  <si>
    <t xml:space="preserve">2.96 x 3.49 x 11.46</t>
  </si>
  <si>
    <t xml:space="preserve">outriggers; house; counterweight; cabDoor; boom; boomSections; hook; wheels; lights</t>
  </si>
  <si>
    <t xml:space="preserve">rough-terrain crane, travel pose</t>
  </si>
  <si>
    <t xml:space="preserve">br-trash-capture-device-service; bs-tandem-lift-girder-set; gl-glass-handling-cart-and-crane-vacuum-lifter; rl-critical-lift-plan-and-signalperson</t>
  </si>
  <si>
    <t xml:space="preserve">aerialBoomLift</t>
  </si>
  <si>
    <t xml:space="preserve">2.42 x 2.61 x 9</t>
  </si>
  <si>
    <t xml:space="preserve">turntable; boom; boomTele; jib; platform; controls; groundControls; wheels; beacon</t>
  </si>
  <si>
    <t xml:space="preserve">60 ft telescopic boom lift, stowed</t>
  </si>
  <si>
    <t xml:space="preserve">bs-tandem-lift-girder-set; fp-anchor-selection-and-rescue-plan</t>
  </si>
  <si>
    <t xml:space="preserve">scissorLift</t>
  </si>
  <si>
    <t xml:space="preserve">1.16 x 2.34 x 2.3</t>
  </si>
  <si>
    <t xml:space="preserve">scissors; platform; extensionDeck; controls; gate; potholeGuards; wheels; beacon</t>
  </si>
  <si>
    <t xml:space="preserve">26 ft slab scissor, stowed</t>
  </si>
  <si>
    <t xml:space="preserve">le-followspot-and-truss-access-at-height; tw-high-bay-order-picker-fall-protection</t>
  </si>
  <si>
    <t xml:space="preserve">compactor</t>
  </si>
  <si>
    <t xml:space="preserve">2.4 x 3.12 x 5.68</t>
  </si>
  <si>
    <t xml:space="preserve">frontFrame; drum; wheels; rops; seat; controls; lights; beacon</t>
  </si>
  <si>
    <t xml:space="preserve">single-drum soil compactor</t>
  </si>
  <si>
    <t xml:space="preserve">cm-curb-and-gutter-forms-and-finish; op-compactor-lift-thickness-and-edge</t>
  </si>
  <si>
    <t xml:space="preserve">generatorTrailer</t>
  </si>
  <si>
    <t xml:space="preserve">1.9 x 2.41 x 4.54</t>
  </si>
  <si>
    <t xml:space="preserve">doorL; doorR; controlPanel; eStop; wheels; jack; lights</t>
  </si>
  <si>
    <t xml:space="preserve">towable diesel generator</t>
  </si>
  <si>
    <t xml:space="preserve">br-surface-supplied-dive-station-setup; cs-ventilation-and-air-monitoring-plan; le-crowd-barricade-and-show-stop-call; ut-night-storm-response-crew-and-portable-generator</t>
  </si>
  <si>
    <t xml:space="preserve">lightTower</t>
  </si>
  <si>
    <t xml:space="preserve">2.34 x 9.29 x 3.49</t>
  </si>
  <si>
    <t xml:space="preserve">mast; mastUpper; lamps; outriggers; controlPanel; wheels; jack</t>
  </si>
  <si>
    <t xml:space="preserve">towable light tower, raised</t>
  </si>
  <si>
    <t xml:space="preserve">lightTower:stowed</t>
  </si>
  <si>
    <t xml:space="preserve">1.58 x 1.77 x 4.81</t>
  </si>
  <si>
    <t xml:space="preserve">towable light tower, stowed for tow</t>
  </si>
  <si>
    <t xml:space="preserve">concretePump</t>
  </si>
  <si>
    <t xml:space="preserve">2.04 x 1.58 x 4.95</t>
  </si>
  <si>
    <t xml:space="preserve">hopper; grate; outlet; controlPanel; outriggers; wheels; jack; lights</t>
  </si>
  <si>
    <t xml:space="preserve">trailer line pump</t>
  </si>
  <si>
    <t xml:space="preserve">craneSpreader</t>
  </si>
  <si>
    <t xml:space="preserve">2.49 x 2.17 x 12.45</t>
  </si>
  <si>
    <t xml:space="preserve">headblock; telescopeFore; telescopeAft; twistlocks; flippers; indicators; landed; locked; unlocked</t>
  </si>
  <si>
    <t xml:space="preserve">telescopic container spreader, 40 ft</t>
  </si>
  <si>
    <t xml:space="preserve">dozer</t>
  </si>
  <si>
    <t xml:space="preserve">3.2 x 3.01 x 5.35</t>
  </si>
  <si>
    <t xml:space="preserve">trackL; trackR; blade; ripper; rops; seat; controls; lights</t>
  </si>
  <si>
    <t xml:space="preserve">mid-size crawler dozer, blade down</t>
  </si>
  <si>
    <t xml:space="preserve">wheelLoader</t>
  </si>
  <si>
    <t xml:space="preserve">2.6 x 3.9 x 7.53</t>
  </si>
  <si>
    <t xml:space="preserve">arms; bucket; wheels; door; lights</t>
  </si>
  <si>
    <t xml:space="preserve">articulated wheel loader, 3-4 yd bucket</t>
  </si>
  <si>
    <t xml:space="preserve">grader</t>
  </si>
  <si>
    <t xml:space="preserve">3.7 x 3.2 x 13.35</t>
  </si>
  <si>
    <t xml:space="preserve">moldboard; circle; frontWheel; wheels; door; lights</t>
  </si>
  <si>
    <t xml:space="preserve">motor grader, blade down</t>
  </si>
  <si>
    <t xml:space="preserve">ranchGrader</t>
  </si>
  <si>
    <t xml:space="preserve">2.07 x 2.86 x 8.24</t>
  </si>
  <si>
    <t xml:space="preserve">rops; seat; controls; wheels; blade; lights; beacon</t>
  </si>
  <si>
    <t xml:space="preserve">motor grader, blade down for a finish pass</t>
  </si>
  <si>
    <t xml:space="preserve">crawlerCrane</t>
  </si>
  <si>
    <t xml:space="preserve">4.76 x 7.3 x 14.81</t>
  </si>
  <si>
    <t xml:space="preserve">trackL; trackR; house; counterweight; cabDoor; boom; boomSections; hook; lights</t>
  </si>
  <si>
    <t xml:space="preserve">lattice-boom crawler crane, boom raised</t>
  </si>
  <si>
    <t xml:space="preserve">pileDrivingRig</t>
  </si>
  <si>
    <t xml:space="preserve">3.94 x 13.28 x 5</t>
  </si>
  <si>
    <t xml:space="preserve">trackL; trackR; house; raisingBoom; leads; hammer; gate; cabDoor; lights</t>
  </si>
  <si>
    <t xml:space="preserve">crawler pile driving rig, leads erected</t>
  </si>
  <si>
    <t xml:space="preserve">regionalJet</t>
  </si>
  <si>
    <t xml:space="preserve">5.18 x 2.81 x 5.19</t>
  </si>
  <si>
    <t xml:space="preserve">fuselage; wingL; wingR; tailfin; engineL; engineR; noseGear; mainGearL; mainGearR; doorFwd; cargoDoor; servicePanel</t>
  </si>
  <si>
    <t xml:space="preserve">stylised single-aisle regional jet, gear down</t>
  </si>
  <si>
    <t xml:space="preserve">av-baggage-belt-loader-and-hold-loading; av-borescope-and-tool-control-inventory; av-deicing-truck-boom-operations; av-ground-power-and-static-bonding-before-fuel; av-hangar-jacking-and-stands; av-lavatory-and-potable-water-separation; av-marshalling-and-wingwalker-signals; av-pushback-tug-and-towbar-connection</t>
  </si>
  <si>
    <t xml:space="preserve">pushbackTug</t>
  </si>
  <si>
    <t xml:space="preserve">1.9 x 1.43 x 4.24</t>
  </si>
  <si>
    <t xml:space="preserve">cabDoor; wheelsF; wheelsR; towbarArm; beacon</t>
  </si>
  <si>
    <t xml:space="preserve">pushback tug with towbar and shoe</t>
  </si>
  <si>
    <t xml:space="preserve">groundPowerUnit</t>
  </si>
  <si>
    <t xml:space="preserve">1.21 x 1.02 x 2.47</t>
  </si>
  <si>
    <t xml:space="preserve">cableReel; bondingReel; controlPanel; wheels</t>
  </si>
  <si>
    <t xml:space="preserve">towable ground power cart with a static-bonding reel</t>
  </si>
  <si>
    <t xml:space="preserve">cargoBeltLoader</t>
  </si>
  <si>
    <t xml:space="preserve">1.38 x 1.68 x 5.04</t>
  </si>
  <si>
    <t xml:space="preserve">beltRamp; controlPanel; wheels; wheelsF</t>
  </si>
  <si>
    <t xml:space="preserve">self-propelled cargo belt loader, ramp raised</t>
  </si>
  <si>
    <t xml:space="preserve">deicingTruck</t>
  </si>
  <si>
    <t xml:space="preserve">2.52 x 4.78 x 7.65</t>
  </si>
  <si>
    <t xml:space="preserve">cabDoor; wheelsF; wheelsM; wheelsR; boomBase; boomArm; basket</t>
  </si>
  <si>
    <t xml:space="preserve">deicing truck, boom stowed along the tank</t>
  </si>
  <si>
    <t xml:space="preserve">serviceCart</t>
  </si>
  <si>
    <t xml:space="preserve">1.73 x 1.77 x 4.05</t>
  </si>
  <si>
    <t xml:space="preserve">hoseReel; serviceValve; wheels</t>
  </si>
  <si>
    <t xml:space="preserve">lavatory service truck</t>
  </si>
  <si>
    <t xml:space="preserve">serviceCart:potable</t>
  </si>
  <si>
    <t xml:space="preserve">potable water service truck</t>
  </si>
  <si>
    <t xml:space="preserve">fuelTruck</t>
  </si>
  <si>
    <t xml:space="preserve">3.08 x 2.8 x 9.88</t>
  </si>
  <si>
    <t xml:space="preserve">cabDoor; wheelsF; wheelsM; wheelsR; hoseReel; nozzleMount; dispensePanel</t>
  </si>
  <si>
    <t xml:space="preserve">ramp fuel truck with a rear hose reel</t>
  </si>
  <si>
    <t xml:space="preserve">cabinInterior</t>
  </si>
  <si>
    <t xml:space="preserve">3.24 x 2.13 x 4.13</t>
  </si>
  <si>
    <t xml:space="preserve">overheadBinL; overheadBinR; oxygenPanel; galley; galleyCart; door</t>
  </si>
  <si>
    <t xml:space="preserve">single-aisle cabin section: two 3+3 seat rows, overhead bins, a galley and cart, and the forward door</t>
  </si>
  <si>
    <t xml:space="preserve">ca-cabin-decompression-and-oxygen-masks; ca-cabin-medical-event-response; ca-cabin-preflight-safety-check; ca-door-evacuation-drill; ca-galley-and-cart-safety; ca-unruly-passenger-deescalation</t>
  </si>
  <si>
    <t xml:space="preserve">amrRobot</t>
  </si>
  <si>
    <t xml:space="preserve">0.68 x 0.41 x 0.92</t>
  </si>
  <si>
    <t xml:space="preserve">liftPlate; statusRing; lidar</t>
  </si>
  <si>
    <t xml:space="preserve">autonomous mobile robot (AMR/AGV), low chassis on caster feet</t>
  </si>
  <si>
    <t xml:space="preserve">conveyorSection</t>
  </si>
  <si>
    <t xml:space="preserve">0.6 x 0.79 x 1.2</t>
  </si>
  <si>
    <t xml:space="preserve">guard; estopCord; rollers</t>
  </si>
  <si>
    <t xml:space="preserve">roller-conveyor bed section with nip-point guard and pull-cord E-stop</t>
  </si>
  <si>
    <t xml:space="preserve">ml-flat-sorter-guarding-and-lockout; ml-parcel-sorter-conveyor-jam-and-loto; ml-suspicious-package-protocol; tw-conveyor-jam-clearing-and-loto; tw-pick-to-light-ergonomics-and-rotation</t>
  </si>
  <si>
    <t xml:space="preserve">dockLevelerBay</t>
  </si>
  <si>
    <t xml:space="preserve">2.3 x 2.49 x 2.1</t>
  </si>
  <si>
    <t xml:space="preserve">leverPlate; lip; restraintArm; dockLightRed; dockLightGreen; restraintLightRed; restraintLightGreen</t>
  </si>
  <si>
    <t xml:space="preserve">dock leveler, lip, dock bumpers and ICC bar vehicle restraint</t>
  </si>
  <si>
    <t xml:space="preserve">ml-mail-handler-forklift-and-container-dock; tw-dock-leveler-and-trailer-restraint-check</t>
  </si>
  <si>
    <t xml:space="preserve">roboticPalletizer</t>
  </si>
  <si>
    <t xml:space="preserve">1.24 x 2.9 x 2.58</t>
  </si>
  <si>
    <t xml:space="preserve">turret; upperArm; foreArm; wrist; turntable</t>
  </si>
  <si>
    <t xml:space="preserve">articulated palletizer arm on a pedestal, with a build-pallet turntable</t>
  </si>
  <si>
    <t xml:space="preserve">batteryChargingStation</t>
  </si>
  <si>
    <t xml:space="preserve">1 x 1.67 x 0.8</t>
  </si>
  <si>
    <t xml:space="preserve">beacon; cable</t>
  </si>
  <si>
    <t xml:space="preserve">lift-truck battery charger cabinet with a spill containment tray</t>
  </si>
  <si>
    <t xml:space="preserve">rollingMillStand</t>
  </si>
  <si>
    <t xml:space="preserve">3.86 x 3.1 x 5</t>
  </si>
  <si>
    <t xml:space="preserve">housingL; housingR; workRollTop; workRollBottom; backupRollTop; backupRollBottom; screwdown; guardGate; entryTable; exitTable</t>
  </si>
  <si>
    <t xml:space="preserve">four-high hot-strip mill stand with an entry/exit roller table</t>
  </si>
  <si>
    <t xml:space="preserve">ladleCrane</t>
  </si>
  <si>
    <t xml:space="preserve">2.7 x 3.21 x 1.16</t>
  </si>
  <si>
    <t xml:space="preserve">bridge; trolley; hookBlock; ladleBody; ladleTrunnion; pourLip</t>
  </si>
  <si>
    <t xml:space="preserve">overhead ladle crane, ladle hanging free to tilt on its trunnions</t>
  </si>
  <si>
    <t xml:space="preserve">continuousMinerFront</t>
  </si>
  <si>
    <t xml:space="preserve">3.09 x 1.28 x 4.44</t>
  </si>
  <si>
    <t xml:space="preserve">trackL; trackR; chassis; gatheringArmL; gatheringArmR; cuttingDrum; boomConveyor; cabGuard</t>
  </si>
  <si>
    <t xml:space="preserve">continuous mining machine cutting end, low profile for a coal seam</t>
  </si>
  <si>
    <t xml:space="preserve">semiTractor</t>
  </si>
  <si>
    <t xml:space="preserve">vehicle</t>
  </si>
  <si>
    <t xml:space="preserve">3.02 x 3.95 x 6.86</t>
  </si>
  <si>
    <t xml:space="preserve">doorL; doorR; mirrorL; mirrorR; hood; wheels; lights; headlights; markerLights; tailLights; fifthWheel; fifthWheelRelease; gladHandService; gladHandEmergency</t>
  </si>
  <si>
    <t xml:space="preserve">Class 8 day cab, tandem drive, fifth wheel, air lines and glad hands</t>
  </si>
  <si>
    <t xml:space="preserve">tdl-cargo-securement-and-hours; tdl-coupling-and-uncoupling</t>
  </si>
  <si>
    <t xml:space="preserve">WebXR/shared/fleet.js FLEET_BUDGET</t>
  </si>
  <si>
    <t xml:space="preserve">semiTractor:sleeper</t>
  </si>
  <si>
    <t xml:space="preserve">3.02 x 4 x 8.66</t>
  </si>
  <si>
    <t xml:space="preserve">doorL; doorR; mirrorL; mirrorR; wheels; lights; fifthWheel; gladHandService; gladHandEmergency</t>
  </si>
  <si>
    <t xml:space="preserve">Class 8 raised-roof sleeper</t>
  </si>
  <si>
    <t xml:space="preserve">trailer:dryVan</t>
  </si>
  <si>
    <t xml:space="preserve">trailer</t>
  </si>
  <si>
    <t xml:space="preserve">2.63 x 4.11 x 16.27</t>
  </si>
  <si>
    <t xml:space="preserve">doorL; doorR; wheels; landingGear; gladHands; lights</t>
  </si>
  <si>
    <t xml:space="preserve">53 ft dry van, swing doors, conspicuity tape</t>
  </si>
  <si>
    <t xml:space="preserve">po-yard-hostler-and-pedestrian-separation; tdl-air-brake-test; tdl-coupling-and-uncoupling</t>
  </si>
  <si>
    <t xml:space="preserve">trailer:flatbed</t>
  </si>
  <si>
    <t xml:space="preserve">2.66 x 1.53 x 14.69</t>
  </si>
  <si>
    <t xml:space="preserve">wheels; landingGear; gladHands; lights; stakePockets; winches</t>
  </si>
  <si>
    <t xml:space="preserve">48 ft flatbed with stake pockets and winches</t>
  </si>
  <si>
    <t xml:space="preserve">trailer:reefer</t>
  </si>
  <si>
    <t xml:space="preserve">2.63 x 4.11 x 16.7</t>
  </si>
  <si>
    <t xml:space="preserve">doorL; doorR; wheels; landingGear; gladHands; lights; reeferUnit</t>
  </si>
  <si>
    <t xml:space="preserve">53 ft reefer with nose-mounted unit</t>
  </si>
  <si>
    <t xml:space="preserve">trailer:tanker</t>
  </si>
  <si>
    <t xml:space="preserve">2.63 x 3.26 x 12.94</t>
  </si>
  <si>
    <t xml:space="preserve">wheels; landingGear; gladHands; lights; manholes; valves</t>
  </si>
  <si>
    <t xml:space="preserve">42 ft DOT-406 style tanker, placarded 3 / 1203</t>
  </si>
  <si>
    <t xml:space="preserve">trailer:pup</t>
  </si>
  <si>
    <t xml:space="preserve">2.63 x 4.11 x 8.65</t>
  </si>
  <si>
    <t xml:space="preserve">28 ft single-axle pup van</t>
  </si>
  <si>
    <t xml:space="preserve">tractorTrailer</t>
  </si>
  <si>
    <t xml:space="preserve">3.02 x 4.11 x 20.71</t>
  </si>
  <si>
    <t xml:space="preserve">tractor; trailer</t>
  </si>
  <si>
    <t xml:space="preserve">day cab coupled to a 53 ft dry van</t>
  </si>
  <si>
    <t xml:space="preserve">drive-backing-serpentine-and-alley-dock; drive-city-route-and-turns; drive-freeway-merge-and-following-distance; drive-mountain-grade-and-engine-brake; drive-night-fog-and-rail-crossing; tdl-air-brake-test; tdl-pretrip-inspection</t>
  </si>
  <si>
    <t xml:space="preserve">boxTruck</t>
  </si>
  <si>
    <t xml:space="preserve">3.02 x 4.05 x 10</t>
  </si>
  <si>
    <t xml:space="preserve">doorL; doorR; mirrorL; mirrorR; wheels; lights; rearDoor</t>
  </si>
  <si>
    <t xml:space="preserve">Class 6, 26 ft box, roll-up door</t>
  </si>
  <si>
    <t xml:space="preserve">br-shoreline-cleanup-sharps-and-hazardous-debris; md-newsroom-storm-scene-and-live-truck-mast; tdl-cargo-securement-and-hours</t>
  </si>
  <si>
    <t xml:space="preserve">pickup</t>
  </si>
  <si>
    <t xml:space="preserve">2.39 x 1.93 x 5.92</t>
  </si>
  <si>
    <t xml:space="preserve">doorFL; doorFR; doorRL; doorRR; wheels; mirrorL; mirrorR; lights; tailgate</t>
  </si>
  <si>
    <t xml:space="preserve">full-size crew cab</t>
  </si>
  <si>
    <t xml:space="preserve">br-levee-inspection-and-seepage; br-native-planting-and-erosion-mats; br-trash-capture-device-service; bs-bearing-replacement-and-jacking; bs-structural-bolting-and-torque; bt-masonry-wall-layout-and-mortar; cs-non-entry-retrieval-and-tripod; cs-permit-entry-and-attendant-duties; or-transmission-line-right-of-way-patrol; ut-gas-meter-set-and-regulator-vent; ut-night-storm-response-crew-and-portable-generator</t>
  </si>
  <si>
    <t xml:space="preserve">sedan</t>
  </si>
  <si>
    <t xml:space="preserve">2.23 x 1.45 x 4.92</t>
  </si>
  <si>
    <t xml:space="preserve">doorFL; doorFR; doorRL; doorRR; wheels; mirrorL; mirrorR; lights; trunk</t>
  </si>
  <si>
    <t xml:space="preserve">mid-size four-door</t>
  </si>
  <si>
    <t xml:space="preserve">bs-bearing-replacement-and-jacking; cm-curb-and-gutter-forms-and-finish; drive-city-route-and-turns; drive-freeway-merge-and-following-distance; drive-light-vehicle-fleet-and-forklift-course; drive-mountain-grade-and-engine-brake; ed-crossing-guard-intersection-control; md-location-shoot-traffic-control-and-heat-hydration; ut-hydrant-flow-test-and-flushing-with-traffic-control; ut-night-storm-response-crew-and-portable-generator</t>
  </si>
  <si>
    <t xml:space="preserve">cargoVan</t>
  </si>
  <si>
    <t xml:space="preserve">2.41 x 2.72 x 5.99</t>
  </si>
  <si>
    <t xml:space="preserve">doorL; doorR; doorSlide; doorRearL; doorRearR; wheels; mirrorL; mirrorR; lights</t>
  </si>
  <si>
    <t xml:space="preserve">high-roof cargo van</t>
  </si>
  <si>
    <t xml:space="preserve">br-intertidal-invasive-removal-by-hand-crew; br-sediment-chain-of-custody-and-lab-prep; cs-ventilation-and-air-monitoring-plan; et-ev-fleet-depot-charging-and-arc-flash; md-location-shoot-traffic-control-and-heat-hydration</t>
  </si>
  <si>
    <t xml:space="preserve">deliveryVan</t>
  </si>
  <si>
    <t xml:space="preserve">2.41 x 2.42 x 4.66</t>
  </si>
  <si>
    <t xml:space="preserve">doorCurb; doorRearL; doorRearR; wheels; mirrorL; mirrorR; markerLights; lights</t>
  </si>
  <si>
    <t xml:space="preserve">right-hand-drive walk-in postal delivery van, single curb-side door, no traffic-side door</t>
  </si>
  <si>
    <t xml:space="preserve">ml-delivery-van-pretrip-and-route-loading; ml-dog-and-hazard-awareness-on-route; ml-heat-and-cold-stress-on-route</t>
  </si>
  <si>
    <t xml:space="preserve">ambulance</t>
  </si>
  <si>
    <t xml:space="preserve">2.62 x 3.13 x 7.06</t>
  </si>
  <si>
    <t xml:space="preserve">doorL; doorR; doorSide; doorRearL; doorRearR; compartments; warningLights; wheels; mirrorL; mirrorR; lights</t>
  </si>
  <si>
    <t xml:space="preserve">Type III, generic markings, rear chevrons</t>
  </si>
  <si>
    <t xml:space="preserve">firefighter-rehab-sector; hz-decon-corridor-for-a-mass-casualty-drill</t>
  </si>
  <si>
    <t xml:space="preserve">fireEngine</t>
  </si>
  <si>
    <t xml:space="preserve">3.2 x 3.23 x 10.25</t>
  </si>
  <si>
    <t xml:space="preserve">doorL; doorR; doorCrewL; doorCrewR; pumpPanel; pumpControls; hoseBed; ladder; compartments; warningLights; wheels; mirrorL; mirrorR; lights</t>
  </si>
  <si>
    <t xml:space="preserve">pumper: pump panel, hose bed, roof ladders</t>
  </si>
  <si>
    <t xml:space="preserve">bucketTruck</t>
  </si>
  <si>
    <t xml:space="preserve">3.3 x 3.44 x 9.6</t>
  </si>
  <si>
    <t xml:space="preserve">doorL; doorR; mirrorL; mirrorR; wheels; lights; turret; boom; boomUpper; bucket; outriggers; compartments; controls</t>
  </si>
  <si>
    <t xml:space="preserve">insulated aerial device, articulated turret-boom-bucket</t>
  </si>
  <si>
    <t xml:space="preserve">busTransit</t>
  </si>
  <si>
    <t xml:space="preserve">3.3 x 3.26 x 12.42</t>
  </si>
  <si>
    <t xml:space="preserve">doorFront; doorRear; destinationSign; wheels; mirrorL; mirrorR; lights</t>
  </si>
  <si>
    <t xml:space="preserve">40 ft low-floor</t>
  </si>
  <si>
    <t xml:space="preserve">bus-depot-lift; tr-wheelchair-lift-and-securement-on-a-bus</t>
  </si>
  <si>
    <t xml:space="preserve">schoolBus</t>
  </si>
  <si>
    <t xml:space="preserve">3.16 x 3.1 x 10.79</t>
  </si>
  <si>
    <t xml:space="preserve">doorEntry; doorRear; mirrorL; mirrorR; crossviewMirror; wheels; lights; stopArm; crossingGate; warningLights</t>
  </si>
  <si>
    <t xml:space="preserve">Type C conventional, 35 ft, 8-way warning lights, stop arm and crossing gate</t>
  </si>
  <si>
    <t xml:space="preserve">forkliftCounterbalance</t>
  </si>
  <si>
    <t xml:space="preserve">1.12 x 2.28 x 3.57</t>
  </si>
  <si>
    <t xml:space="preserve">mast; innerMast; carriage; forks; overheadGuard; counterweight; lpgTank; seat; controls; beacon; wheels; lights</t>
  </si>
  <si>
    <t xml:space="preserve">5,000 lb LPG counterbalance</t>
  </si>
  <si>
    <t xml:space="preserve">drive-backing-serpentine-and-alley-dock; drive-light-vehicle-fleet-and-forklift-course; forklift-dock; hz-drum-staging-and-compatibility-segregation; ml-mail-handler-forklift-and-container-dock; tdl-trailer-loading-and-dock-plate; tw-battery-change-and-charging-bay-safety; tw-cold-storage-ppe-and-rotation; tw-dock-leveler-and-trailer-restraint-check</t>
  </si>
  <si>
    <t xml:space="preserve">yardHustler</t>
  </si>
  <si>
    <t xml:space="preserve">2.91 x 3.43 x 5.61</t>
  </si>
  <si>
    <t xml:space="preserve">doorL; doorRear; mirrorL; mirrorR; wheels; fifthWheel; gladHandService; gladHandEmergency; beacon; lights</t>
  </si>
  <si>
    <t xml:space="preserve">terminal tractor, lifting fifth wheel</t>
  </si>
  <si>
    <t xml:space="preserve">ml-delivery-van-pretrip-and-route-loading; po-yard-hostler-and-pedestrian-separation; tdl-pretrip-inspection; tdl-trailer-loading-and-dock-plate</t>
  </si>
  <si>
    <t xml:space="preserve">workboat</t>
  </si>
  <si>
    <t xml:space="preserve">boat</t>
  </si>
  <si>
    <t xml:space="preserve">3.15 x 3.45 x 8.18</t>
  </si>
  <si>
    <t xml:space="preserve">wheelhouseDoor; outboards; davit; navLights; portLight; starboardLight; mastheadLight</t>
  </si>
  <si>
    <t xml:space="preserve">7.6 m aluminium workboat</t>
  </si>
  <si>
    <t xml:space="preserve">br-benthic-grab-and-invertebrate-sorting; br-boom-towing-between-two-vessels; br-cold-water-immersion-and-mob-recovery; br-dive-site-hazard-assessment-and-jsa; br-dive-tender-and-umbilical-management; br-dredge-material-screening-and-disposal-decision; br-hyperbaric-chamber-standby; br-marine-mammal-observer-during-pile-driving; br-sediment-chain-of-custody-and-lab-prep; br-surface-supplied-dive-station-setup; br-turbidity-curtain-deployment; br-vhf-and-navigation-in-a-work-zone; br-water-quality-sonde-calibration-and-deploy; br-workboat-crane-lift-from-water; cd-rov-launch-recovery-and-tether-management; me-water-column-sampling-from-a-small-boat</t>
  </si>
  <si>
    <t xml:space="preserve">motorYacht</t>
  </si>
  <si>
    <t xml:space="preserve">6.72 x 8.01 x 24.23</t>
  </si>
  <si>
    <t xml:space="preserve">saloonDoor; helm; bowCleats; springCleats; sternCleats; fuelFill; shorePowerInlet; engineHatch; davit; tender; fenders; lifeRing; navLights; portLight; starboardLight; mastheadLight; sternLight</t>
  </si>
  <si>
    <t xml:space="preserve">24 m motor yacht: flybridge, swim platform, tender in a davit, shore-power inlet</t>
  </si>
  <si>
    <t xml:space="preserve">yc-fuel-dock-transfer-and-spill-kit; yc-line-handling-and-docking-in-crosswind; yc-man-overboard-recovery-drill; yc-pre-departure-safety-briefing-and-guest-count; yc-shore-power-connection-and-in-water-electrical-safety; yc-tender-launch-and-guest-transfer</t>
  </si>
  <si>
    <t xml:space="preserve">yachtTender</t>
  </si>
  <si>
    <t xml:space="preserve">1.89 x 1.52 x 4.55</t>
  </si>
  <si>
    <t xml:space="preserve">outboard; killCord; console; bowEye; sternCleat; fuelTank; navLight</t>
  </si>
  <si>
    <t xml:space="preserve">4.2 m rigid inflatable tender with an outboard and a kill-cord</t>
  </si>
  <si>
    <t xml:space="preserve">skiff</t>
  </si>
  <si>
    <t xml:space="preserve">2.11 x 1.79 x 5.69</t>
  </si>
  <si>
    <t xml:space="preserve">outboard; console; killSwitch; bowCleat; sternCleat; navLights; portLight; starboardLight; sternLight</t>
  </si>
  <si>
    <t xml:space="preserve">5.2 m aluminium centre-console skiff</t>
  </si>
  <si>
    <t xml:space="preserve">br-beach-seine-fish-survey-and-handling; br-bird-nesting-buffer-and-work-window; br-boom-towing-between-two-vessels; br-cold-water-immersion-and-mob-recovery; br-debris-skimmer-vessel-operations; br-derelict-vessel-salvage-rigging; br-drone-shoreline-survey; br-marine-mammal-observer-during-pile-driving; br-vhf-and-navigation-in-a-work-zone; br-volunteer-cleanup-day-safety-lead; cd-scientific-scuba-buddy-check-and-lost-buddy-drill; me-eelgrass-seed-collection-and-nursery; me-oyster-reef-monitoring-and-settlement-tiles</t>
  </si>
  <si>
    <t xml:space="preserve">deckBarge</t>
  </si>
  <si>
    <t xml:space="preserve">6.24 x 2.7 x 16</t>
  </si>
  <si>
    <t xml:space="preserve">bitts; ladder</t>
  </si>
  <si>
    <t xml:space="preserve">16 m flat steel deck barge, raked ends</t>
  </si>
  <si>
    <t xml:space="preserve">br-barge-loading-of-contaminated-sediment; br-vhf-and-navigation-in-a-work-zone</t>
  </si>
  <si>
    <t xml:space="preserve">deckBarge:hopper</t>
  </si>
  <si>
    <t xml:space="preserve">6.24 x 3.1 x 16</t>
  </si>
  <si>
    <t xml:space="preserve">bitts; ladder; coaming; liner; load</t>
  </si>
  <si>
    <t xml:space="preserve">deck barge with a lined sediment hopper</t>
  </si>
  <si>
    <t xml:space="preserve">salvageCraneBarge</t>
  </si>
  <si>
    <t xml:space="preserve">7.24 x 13.59 x 18</t>
  </si>
  <si>
    <t xml:space="preserve">house; boom; hook; hoistLine; counterweight; cabDoor; spuds; bitts; ladder</t>
  </si>
  <si>
    <t xml:space="preserve">18 m spud barge with a revolving lattice-boom crane</t>
  </si>
  <si>
    <t xml:space="preserve">br-derelict-vessel-salvage-rigging; br-marine-mammal-observer-during-pile-driving</t>
  </si>
  <si>
    <t xml:space="preserve">skimmerVessel</t>
  </si>
  <si>
    <t xml:space="preserve">4.22 x 4.1 x 12.21</t>
  </si>
  <si>
    <t xml:space="preserve">conveyor; basket; sweepArms; tankHatch; wheelhouseDoor; navLights; portLight; starboardLight; mastheadLight</t>
  </si>
  <si>
    <t xml:space="preserve">11 m catamaran debris and oil skimmer</t>
  </si>
  <si>
    <t xml:space="preserve">deckCrane</t>
  </si>
  <si>
    <t xml:space="preserve">0.95 x 4.58 x 4.65</t>
  </si>
  <si>
    <t xml:space="preserve">slew; mainBoom; jib; hook; controls</t>
  </si>
  <si>
    <t xml:space="preserve">pedestal knuckle-boom deck crane</t>
  </si>
  <si>
    <t xml:space="preserve">derelictBoat</t>
  </si>
  <si>
    <t xml:space="preserve">2.99 x 3.9 x 9</t>
  </si>
  <si>
    <t xml:space="preserve">hatch; cleats; slingPoints; fuelVent</t>
  </si>
  <si>
    <t xml:space="preserve">9 m derelict sailboat, dismasted and fouled</t>
  </si>
  <si>
    <t xml:space="preserve">spudBarge</t>
  </si>
  <si>
    <t xml:space="preserve">6.38 x 6.72 x 12.2</t>
  </si>
  <si>
    <t xml:space="preserve">spuds; bitts; coaming; sump; navLights; portLight; starboardLight</t>
  </si>
  <si>
    <t xml:space="preserve">12.2 m sectional spud barge with spill coaming</t>
  </si>
  <si>
    <t xml:space="preserve">br-dredge-material-screening-and-disposal-decision; br-dredge-spoils-dewatering-pad; br-turbidity-curtain-deployment; br-water-quality-sonde-calibration-and-deploy</t>
  </si>
  <si>
    <t xml:space="preserve">rov</t>
  </si>
  <si>
    <t xml:space="preserve">0.62 x 0.55 x 1.01</t>
  </si>
  <si>
    <t xml:space="preserve">thrusters; camera; lights; manipulator; tetherPoint</t>
  </si>
  <si>
    <t xml:space="preserve">observation-class ROV, four thrusters, camera dome, manipulator</t>
  </si>
  <si>
    <t xml:space="preserve">jerseyBarrier</t>
  </si>
  <si>
    <t xml:space="preserve">prop</t>
  </si>
  <si>
    <t xml:space="preserve">0.61 x 0.81 x 3.05</t>
  </si>
  <si>
    <t xml:space="preserve">concrete F-shape traffic barrier, 10 ft run</t>
  </si>
  <si>
    <t xml:space="preserve">no</t>
  </si>
  <si>
    <t xml:space="preserve">WebXR/shared/props.js PROPS_BUDGET</t>
  </si>
  <si>
    <t xml:space="preserve">waterBarrier</t>
  </si>
  <si>
    <t xml:space="preserve">0.5 x 0.79 x 1.83</t>
  </si>
  <si>
    <t xml:space="preserve">plastic water/sand-filled lane barrier</t>
  </si>
  <si>
    <t xml:space="preserve">coneCluster</t>
  </si>
  <si>
    <t xml:space="preserve">1 x 0.71 x 0.84</t>
  </si>
  <si>
    <t xml:space="preserve">three traffic cones in a triangle</t>
  </si>
  <si>
    <t xml:space="preserve">lightMast</t>
  </si>
  <si>
    <t xml:space="preserve">1.3 x 9 x 0.5</t>
  </si>
  <si>
    <t xml:space="preserve">lamps</t>
  </si>
  <si>
    <t xml:space="preserve">fixed site light mast, four heads, lit at night</t>
  </si>
  <si>
    <t xml:space="preserve">portableToilet</t>
  </si>
  <si>
    <t xml:space="preserve">1.26 x 2.32 x 1.26</t>
  </si>
  <si>
    <t xml:space="preserve">door</t>
  </si>
  <si>
    <t xml:space="preserve">single-unit portable toilet</t>
  </si>
  <si>
    <t xml:space="preserve">siteOffice</t>
  </si>
  <si>
    <t xml:space="preserve">2.45 x 3.1 x 6.49</t>
  </si>
  <si>
    <t xml:space="preserve">20 ft portable site office</t>
  </si>
  <si>
    <t xml:space="preserve">cd-dive-records-and-incident-review; md-location-shoot-traffic-control-and-heat-hydration</t>
  </si>
  <si>
    <t xml:space="preserve">dumpster</t>
  </si>
  <si>
    <t xml:space="preserve">1.37 x 1.26 x 1.83</t>
  </si>
  <si>
    <t xml:space="preserve">lidL; lidR</t>
  </si>
  <si>
    <t xml:space="preserve">front-load construction dumpster</t>
  </si>
  <si>
    <t xml:space="preserve">op-equipment-daily-walkaround-and-fluids; op-excavator-trench-and-utility-locate; op-loader-truck-loading-and-blind-spots; tw-conveyor-jam-clearing-and-loto</t>
  </si>
  <si>
    <t xml:space="preserve">scaffoldTower</t>
  </si>
  <si>
    <t xml:space="preserve">1.4 x 4 x 1.4</t>
  </si>
  <si>
    <t xml:space="preserve">two-lift scaffold tower with platform and guardrail</t>
  </si>
  <si>
    <t xml:space="preserve">palletStack</t>
  </si>
  <si>
    <t xml:space="preserve">1.04 x 1.7 x 1.24</t>
  </si>
  <si>
    <t xml:space="preserve">three loaded pallets under shrink film</t>
  </si>
  <si>
    <t xml:space="preserve">av-baggage-belt-loader-and-hold-loading; ml-flat-sorter-guarding-and-lockout; ml-mail-handler-forklift-and-container-dock; ml-parcel-sorter-conveyor-jam-and-loto; ml-suspicious-package-protocol; tw-amr-traffic-zone-entry-and-lockout; tw-cold-storage-ppe-and-rotation; tw-conveyor-jam-clearing-and-loto; tw-dock-leveler-and-trailer-restraint-check; tw-high-bay-order-picker-fall-protection; tw-palletizer-cell-fenced-access-permit; tw-pick-to-light-ergonomics-and-rotation</t>
  </si>
  <si>
    <t xml:space="preserve">cableSpool</t>
  </si>
  <si>
    <t xml:space="preserve">0.9 x 1.5 x 1.5</t>
  </si>
  <si>
    <t xml:space="preserve">wound cable reel, standing on its rim</t>
  </si>
  <si>
    <t xml:space="preserve">op-compactor-lift-thickness-and-edge; op-dozer-slope-work-and-rollover-protection; op-excavator-trench-and-utility-locate</t>
  </si>
  <si>
    <t xml:space="preserve">fireHydrant</t>
  </si>
  <si>
    <t xml:space="preserve">0.38 x 0.78 x 0.46</t>
  </si>
  <si>
    <t xml:space="preserve">dry-barrel fire hydrant</t>
  </si>
  <si>
    <t xml:space="preserve">bollardRow</t>
  </si>
  <si>
    <t xml:space="preserve">6.16 x 1.08 x 0.16</t>
  </si>
  <si>
    <t xml:space="preserve">row of five steel bollards</t>
  </si>
  <si>
    <t xml:space="preserve">parkBench</t>
  </si>
  <si>
    <t xml:space="preserve">1.8 x 0.94 x 0.5</t>
  </si>
  <si>
    <t xml:space="preserve">slatted park bench</t>
  </si>
  <si>
    <t xml:space="preserve">streetTree:small</t>
  </si>
  <si>
    <t xml:space="preserve">streetTree</t>
  </si>
  <si>
    <t xml:space="preserve">2.48 x 4.46 x 2.4</t>
  </si>
  <si>
    <t xml:space="preserve">young street tree in a tree grate</t>
  </si>
  <si>
    <t xml:space="preserve">streetTree:medium</t>
  </si>
  <si>
    <t xml:space="preserve">3.93 x 6.52 x 3.8</t>
  </si>
  <si>
    <t xml:space="preserve">established street tree in a tree grate</t>
  </si>
  <si>
    <t xml:space="preserve">streetTree:large</t>
  </si>
  <si>
    <t xml:space="preserve">5.8 x 9.02 x 5.6</t>
  </si>
  <si>
    <t xml:space="preserve">mature street tree in a tree grate</t>
  </si>
  <si>
    <t xml:space="preserve">shrubBed</t>
  </si>
  <si>
    <t xml:space="preserve">2.3 x 0.72 x 1</t>
  </si>
  <si>
    <t xml:space="preserve">curbed planting bed, five shrubs</t>
  </si>
  <si>
    <t xml:space="preserve">gk-pesticide-and-fertilizer-application-per-the-label; gk-ride-on-mower-pre-start-and-slope-work</t>
  </si>
  <si>
    <t xml:space="preserve">fencePanel</t>
  </si>
  <si>
    <t xml:space="preserve">3.05 x 1.9 x 0.07</t>
  </si>
  <si>
    <t xml:space="preserve">10 ft chain-link fence panel</t>
  </si>
  <si>
    <t xml:space="preserve">op-dozer-slope-work-and-rollover-protection; op-grader-fine-grade-and-crown; tw-palletizer-cell-fenced-access-permit</t>
  </si>
  <si>
    <t xml:space="preserve">fencePanel:gate</t>
  </si>
  <si>
    <t xml:space="preserve">fencePanelGate</t>
  </si>
  <si>
    <t xml:space="preserve">gate</t>
  </si>
  <si>
    <t xml:space="preserve">chain-link fence panel with a swinging gate leaf</t>
  </si>
  <si>
    <t xml:space="preserve">ed-playground-equipment-inspection; tw-palletizer-cell-fenced-access-permit</t>
  </si>
  <si>
    <t xml:space="preserve">shippingContainer</t>
  </si>
  <si>
    <t xml:space="preserve">2.44 x 2.65 x 6.06</t>
  </si>
  <si>
    <t xml:space="preserve">doorL; doorR</t>
  </si>
  <si>
    <t xml:space="preserve">20 ft ISO shipping container, oxide red</t>
  </si>
  <si>
    <t xml:space="preserve">ml-mail-handler-forklift-and-container-dock; op-pile-driving-rig-and-lead-setup</t>
  </si>
  <si>
    <t xml:space="preserve">shippingContainer:blue</t>
  </si>
  <si>
    <t xml:space="preserve">20 ft ISO shipping container, marine blue</t>
  </si>
  <si>
    <t xml:space="preserve">fuelTank</t>
  </si>
  <si>
    <t xml:space="preserve">2.2 x 1.38 x 1.16</t>
  </si>
  <si>
    <t xml:space="preserve">gauge</t>
  </si>
  <si>
    <t xml:space="preserve">skid fuel tank on a twin saddle stand</t>
  </si>
  <si>
    <t xml:space="preserve">generatorSkid</t>
  </si>
  <si>
    <t xml:space="preserve">1 x 1.34 x 2.2</t>
  </si>
  <si>
    <t xml:space="preserve">stack; controlPanel</t>
  </si>
  <si>
    <t xml:space="preserve">diesel generator on a skid</t>
  </si>
  <si>
    <t xml:space="preserve">counterweightStack</t>
  </si>
  <si>
    <t xml:space="preserve">2.5 x 1.5 x 1</t>
  </si>
  <si>
    <t xml:space="preserve">mobile crane counterweight, five slabs</t>
  </si>
  <si>
    <t xml:space="preserve">picnicTable</t>
  </si>
  <si>
    <t xml:space="preserve">1.6 x 0.9 x 1.5</t>
  </si>
  <si>
    <t xml:space="preserve">A-frame picnic table</t>
  </si>
  <si>
    <t xml:space="preserve">aircraftJack</t>
  </si>
  <si>
    <t xml:space="preserve">0.78 x 1.2 x 0.8</t>
  </si>
  <si>
    <t xml:space="preserve">ram; saddle</t>
  </si>
  <si>
    <t xml:space="preserve">tripod aircraft jack, ram extended</t>
  </si>
  <si>
    <t xml:space="preserve">palletRackBay</t>
  </si>
  <si>
    <t xml:space="preserve">2.62 x 4.22 x 1.18</t>
  </si>
  <si>
    <t xml:space="preserve">selective pallet-rack bay, two loaded levels and a rating plaque</t>
  </si>
  <si>
    <t xml:space="preserve">ml-flat-sorter-guarding-and-lockout; ml-parcel-sorter-conveyor-jam-and-loto; ml-suspicious-package-protocol; tw-amr-traffic-zone-entry-and-lockout; tw-cold-storage-ppe-and-rotation; tw-conveyor-jam-clearing-and-loto; tw-dock-leveler-and-trailer-restraint-check; tw-high-bay-order-picker-fall-protection</t>
  </si>
  <si>
    <t xml:space="preserve">coldRoomDoor</t>
  </si>
  <si>
    <t xml:space="preserve">1.98 x 2.68 x 0.28</t>
  </si>
  <si>
    <t xml:space="preserve">insulated cold-storage doorway with a PVC strip curtain</t>
  </si>
  <si>
    <t xml:space="preserve">marinaBerth</t>
  </si>
  <si>
    <t xml:space="preserve">2.21 x 2.2 x 12</t>
  </si>
  <si>
    <t xml:space="preserve">cleats; pedestal; breaker; pedestalLamp; extinguisherBox; spillKit; fuelPump; fuelHose; boom</t>
  </si>
  <si>
    <t xml:space="preserve">marina finger dock on piles with cleats, a shore-power pedestal and breaker, an extinguisher box, a spill-kit cabinet and a fuel-dock pump with boom</t>
  </si>
  <si>
    <t xml:space="preserve">yc-fuel-dock-transfer-and-spill-kit; yc-line-handling-and-docking-in-crosswind; yc-pre-departure-safety-briefing-and-guest-count; yc-shore-power-connection-and-in-water-electrical-safety</t>
  </si>
  <si>
    <t xml:space="preserve">pickToLightShelf</t>
  </si>
  <si>
    <t xml:space="preserve">1.6 x 2.44 x 0.51</t>
  </si>
  <si>
    <t xml:space="preserve">lights</t>
  </si>
  <si>
    <t xml:space="preserve">pick-to-light shelf module, three LED pick strips</t>
  </si>
  <si>
    <t xml:space="preserve">settlementTileRack</t>
  </si>
  <si>
    <t xml:space="preserve">0.9 x 0.82 x 0.3</t>
  </si>
  <si>
    <t xml:space="preserve">tiles</t>
  </si>
  <si>
    <t xml:space="preserve">PVC settlement-tile rack, six tiles hung face-down in two rows</t>
  </si>
  <si>
    <t xml:space="preserve">quadratFrame</t>
  </si>
  <si>
    <t xml:space="preserve">0.53 x 0.1 x 0.53</t>
  </si>
  <si>
    <t xml:space="preserve">half-metre PVC quadrat with cross-strings and pin feet</t>
  </si>
  <si>
    <t xml:space="preserve">divingStage</t>
  </si>
  <si>
    <t xml:space="preserve">1.5 x 2.58 x 1.5</t>
  </si>
  <si>
    <t xml:space="preserve">bail; gate</t>
  </si>
  <si>
    <t xml:space="preserve">diver's launch and recovery stage, grated floor, lifting bail, hinged gate</t>
  </si>
  <si>
    <t xml:space="preserve">cd-hydraulic-tools-and-suction-hazards-underwater; cd-underwater-wet-welding-and-cutting</t>
  </si>
  <si>
    <t xml:space="preserve">drill</t>
  </si>
  <si>
    <t xml:space="preserve">tool</t>
  </si>
  <si>
    <t xml:space="preserve">0.08 x 0.27 x 0.32</t>
  </si>
  <si>
    <t xml:space="preserve">trigger</t>
  </si>
  <si>
    <t xml:space="preserve">cordless drill-driver</t>
  </si>
  <si>
    <t xml:space="preserve">WebXR/shared/toolkit.js TOOLKIT_BUDGET</t>
  </si>
  <si>
    <t xml:space="preserve">angleGrinder</t>
  </si>
  <si>
    <t xml:space="preserve">0.2 x 0.07 x 0.42</t>
  </si>
  <si>
    <t xml:space="preserve">guard; disc</t>
  </si>
  <si>
    <t xml:space="preserve">125 mm angle grinder with guard</t>
  </si>
  <si>
    <t xml:space="preserve">impactWrench</t>
  </si>
  <si>
    <t xml:space="preserve">0.09 x 0.27 x 0.23</t>
  </si>
  <si>
    <t xml:space="preserve">1/2 in cordless impact wrench</t>
  </si>
  <si>
    <t xml:space="preserve">torqueWrench</t>
  </si>
  <si>
    <t xml:space="preserve">0.04 x 0.04 x 0.51</t>
  </si>
  <si>
    <t xml:space="preserve">scale</t>
  </si>
  <si>
    <t xml:space="preserve">click-type torque wrench</t>
  </si>
  <si>
    <t xml:space="preserve">multimeter</t>
  </si>
  <si>
    <t xml:space="preserve">0.33 x 0.2 x 0.13</t>
  </si>
  <si>
    <t xml:space="preserve">screen; leadRed; leadBlack</t>
  </si>
  <si>
    <t xml:space="preserve">digital multimeter, live screen</t>
  </si>
  <si>
    <t xml:space="preserve">fourGasMeter</t>
  </si>
  <si>
    <t xml:space="preserve">0.07 x 0.12 x 0.05</t>
  </si>
  <si>
    <t xml:space="preserve">screen</t>
  </si>
  <si>
    <t xml:space="preserve">O2 / LEL / CO / H2S monitor, live screen</t>
  </si>
  <si>
    <t xml:space="preserve">br-boom-towing-between-two-vessels; br-shoreline-cleanup-sharps-and-hazardous-debris; cs-permit-entry-and-attendant-duties; cs-ventilation-and-air-monitoring-plan</t>
  </si>
  <si>
    <t xml:space="preserve">radio</t>
  </si>
  <si>
    <t xml:space="preserve">0.06 x 0.26 x 0.04</t>
  </si>
  <si>
    <t xml:space="preserve">screen; ptt</t>
  </si>
  <si>
    <t xml:space="preserve">portable two-way radio</t>
  </si>
  <si>
    <t xml:space="preserve">br-barge-loading-of-contaminated-sediment; br-beach-seine-fish-survey-and-handling; br-benthic-grab-and-invertebrate-sorting; br-bird-nesting-buffer-and-work-window; br-boom-towing-between-two-vessels; br-cold-water-immersion-and-mob-recovery; br-dive-site-hazard-assessment-and-jsa; br-drone-shoreline-survey; br-marine-mammal-observer-during-pile-driving; br-restoration-data-qa-and-public-reporting; br-vhf-and-navigation-in-a-work-zone; br-volunteer-cleanup-day-safety-lead; bs-bearing-replacement-and-jacking; bs-structural-bolting-and-torque; bs-tandem-lift-girder-set; bt-formwork-stripping-and-reshoring; bt-masonry-wall-layout-and-mortar; bt-rebar-tying-and-impalement-protection; cs-non-entry-retrieval-and-tripod; cs-permit-entry-and-attendant-duties; cs-ventilation-and-air-monitoring-plan; hw-banquet-room-flip-and-staging; hw-flatwork-ironer-and-folder-guarding; hw-housekeeping-cart-and-chemical-safety; me-eelgrass-seed-collection-and-nursery; me-invasive-species-identification-and-reporting; me-oyster-reef-monitoring-and-settlement-tiles; me-shoreline-debris-and-microplastics-survey; me-tidal-marsh-channel-restoration-day; me-water-column-sampling-from-a-small-boat</t>
  </si>
  <si>
    <t xml:space="preserve">flashlight</t>
  </si>
  <si>
    <t xml:space="preserve">0.04 x 0.04 x 0.22</t>
  </si>
  <si>
    <t xml:space="preserve">lens</t>
  </si>
  <si>
    <t xml:space="preserve">aluminium flashlight</t>
  </si>
  <si>
    <t xml:space="preserve">cs-permit-entry-and-attendant-duties; ed-boiler-room-filter-change-lockout; hw-flatwork-ironer-and-folder-guarding; hw-housekeeping-cart-and-chemical-safety</t>
  </si>
  <si>
    <t xml:space="preserve">tapeMeasure</t>
  </si>
  <si>
    <t xml:space="preserve">0.3 x 0.07 x 0.05</t>
  </si>
  <si>
    <t xml:space="preserve">blade</t>
  </si>
  <si>
    <t xml:space="preserve">8 m tape, blade run out</t>
  </si>
  <si>
    <t xml:space="preserve">bt-masonry-wall-layout-and-mortar; bt-rebar-tying-and-impalement-protection; gl-aluminium-panel-fabrication-and-brake; gl-curtain-wall-unit-setting-from-the-floor; gl-shop-drawing-takeoff-and-field-measure; gl-storefront-frame-and-glass-set-with-cups; hw-banquet-room-flip-and-staging</t>
  </si>
  <si>
    <t xml:space="preserve">level</t>
  </si>
  <si>
    <t xml:space="preserve">0.63 x 0.06 x 0.03</t>
  </si>
  <si>
    <t xml:space="preserve">vials</t>
  </si>
  <si>
    <t xml:space="preserve">600 mm spirit level</t>
  </si>
  <si>
    <t xml:space="preserve">bt-masonry-wall-layout-and-mortar; gl-aluminium-panel-fabrication-and-brake; gl-curtain-wall-unit-setting-from-the-floor; gl-shop-drawing-takeoff-and-field-measure; gl-skylight-glass-replacement-and-fall-protection; op-grader-fine-grade-and-crown</t>
  </si>
  <si>
    <t xml:space="preserve">hammer</t>
  </si>
  <si>
    <t xml:space="preserve">0.17 x 0.03 x 0.32</t>
  </si>
  <si>
    <t xml:space="preserve">head</t>
  </si>
  <si>
    <t xml:space="preserve">framing hammer</t>
  </si>
  <si>
    <t xml:space="preserve">bs-bearing-replacement-and-jacking; bs-structural-bolting-and-torque</t>
  </si>
  <si>
    <t xml:space="preserve">wrenchSet</t>
  </si>
  <si>
    <t xml:space="preserve">0.42 x 0.01 x 0.3</t>
  </si>
  <si>
    <t xml:space="preserve">wrenches</t>
  </si>
  <si>
    <t xml:space="preserve">combination wrenches in a roll</t>
  </si>
  <si>
    <t xml:space="preserve">hardHatLamp</t>
  </si>
  <si>
    <t xml:space="preserve">0.29 x 0.16 x 0.29</t>
  </si>
  <si>
    <t xml:space="preserve">lamp</t>
  </si>
  <si>
    <t xml:space="preserve">hard hat with cap lamp</t>
  </si>
  <si>
    <t xml:space="preserve">chock</t>
  </si>
  <si>
    <t xml:space="preserve">0.2 x 0.26 x 0.28</t>
  </si>
  <si>
    <t xml:space="preserve">handle</t>
  </si>
  <si>
    <t xml:space="preserve">wheel chock</t>
  </si>
  <si>
    <t xml:space="preserve">op-equipment-daily-walkaround-and-fluids; op-loader-truck-loading-and-blind-spots; tw-dock-leveler-and-trailer-restraint-check</t>
  </si>
  <si>
    <t xml:space="preserve">tagLine</t>
  </si>
  <si>
    <t xml:space="preserve">0.45 x 0.08 x 0.34</t>
  </si>
  <si>
    <t xml:space="preserve">hook</t>
  </si>
  <si>
    <t xml:space="preserve">coiled tag line with snap hook</t>
  </si>
  <si>
    <t xml:space="preserve">bs-tandem-lift-girder-set; cs-non-entry-retrieval-and-tripod</t>
  </si>
  <si>
    <t xml:space="preserve">tieDownStrap</t>
  </si>
  <si>
    <t xml:space="preserve">0.43 x 0.05 x 0.14</t>
  </si>
  <si>
    <t xml:space="preserve">ratchet; hook</t>
  </si>
  <si>
    <t xml:space="preserve">2 in ratchet tie-down</t>
  </si>
  <si>
    <t xml:space="preserve">gladHandGauge</t>
  </si>
  <si>
    <t xml:space="preserve">0.13 x 0.14 x 0.06</t>
  </si>
  <si>
    <t xml:space="preserve">dial</t>
  </si>
  <si>
    <t xml:space="preserve">glad-hand air gauge, live dial</t>
  </si>
  <si>
    <t xml:space="preserve">tireGauge</t>
  </si>
  <si>
    <t xml:space="preserve">0.03 x 0.02 x 0.31</t>
  </si>
  <si>
    <t xml:space="preserve">bar</t>
  </si>
  <si>
    <t xml:space="preserve">dual-foot truck tyre gauge</t>
  </si>
  <si>
    <t xml:space="preserve">creeper</t>
  </si>
  <si>
    <t xml:space="preserve">0.44 x 0.13 x 0.98</t>
  </si>
  <si>
    <t xml:space="preserve">casters</t>
  </si>
  <si>
    <t xml:space="preserve">mechanic's creeper</t>
  </si>
  <si>
    <t xml:space="preserve">hoseReel</t>
  </si>
  <si>
    <t xml:space="preserve">0.28 x 0.37 x 0.39</t>
  </si>
  <si>
    <t xml:space="preserve">drum; nozzle</t>
  </si>
  <si>
    <t xml:space="preserve">air hose reel</t>
  </si>
  <si>
    <t xml:space="preserve">bt-masonry-wall-layout-and-mortar; hz-decon-corridor-for-a-mass-casualty-drill</t>
  </si>
  <si>
    <t xml:space="preserve">glassVacuumLifter</t>
  </si>
  <si>
    <t xml:space="preserve">0.55 x 0.24 x 0.06</t>
  </si>
  <si>
    <t xml:space="preserve">two-cup manual glass vacuum lifter, live vacuum gauge</t>
  </si>
  <si>
    <t xml:space="preserve">gl-glass-handling-cart-and-crane-vacuum-lifter; gl-skylight-glass-replacement-and-fall-protection; gl-storefront-frame-and-glass-set-with-cups; gl-swing-stage-glazing-and-sealant; gl-tempered-glass-breakage-and-cleanup</t>
  </si>
  <si>
    <t xml:space="preserve">gulls</t>
  </si>
  <si>
    <t xml:space="preserve">wildlife</t>
  </si>
  <si>
    <t xml:space="preserve">8 per group, circle</t>
  </si>
  <si>
    <t xml:space="preserve">WebXR/shared/wildlife.js WILDLIFE_BUDGET</t>
  </si>
  <si>
    <t xml:space="preserve">pelicans</t>
  </si>
  <si>
    <t xml:space="preserve">4 per group, glide</t>
  </si>
  <si>
    <t xml:space="preserve">shorebirds</t>
  </si>
  <si>
    <t xml:space="preserve">6 per group, dash</t>
  </si>
  <si>
    <t xml:space="preserve">seals</t>
  </si>
  <si>
    <t xml:space="preserve">3 per group, bask</t>
  </si>
  <si>
    <t xml:space="preserve">fish</t>
  </si>
  <si>
    <t xml:space="preserve">60 per group, school</t>
  </si>
  <si>
    <t xml:space="preserve">ray</t>
  </si>
  <si>
    <t xml:space="preserve">1 per group, figure-eight</t>
  </si>
  <si>
    <t xml:space="preserve">crab</t>
  </si>
  <si>
    <t xml:space="preserve">1 per group, sidestep</t>
  </si>
  <si>
    <t xml:space="preserve">skyDome</t>
  </si>
  <si>
    <t xml:space="preserve">sky</t>
  </si>
  <si>
    <t xml:space="preserve">sky dome</t>
  </si>
  <si>
    <t xml:space="preserve">900 vertices, 10 clouds, 240 stars</t>
  </si>
  <si>
    <t xml:space="preserve">WebXR/shared/sky.js SKY_BUDGET</t>
  </si>
  <si>
    <t xml:space="preserve">description</t>
  </si>
  <si>
    <t xml:space="preserve">Class 8 conventional tractor, tandem drive.</t>
  </si>
  <si>
    <t xml:space="preserve">WebXR/shared/fleet.js semiTractor() doc comment; FLEET_BUDGET</t>
  </si>
  <si>
    <t xml:space="preserve">Semi-trailer.</t>
  </si>
  <si>
    <t xml:space="preserve">WebXR/shared/fleet.js trailer() doc comment; FLEET_BUDGET</t>
  </si>
  <si>
    <t xml:space="preserve">A coupled tractor-trailer: `opts.cab` and `opts.trailer` pick the pieces, the trailer's kingpin sits over the fifth wheel.</t>
  </si>
  <si>
    <t xml:space="preserve">WebXR/shared/fleet.js tractorTrailer() doc comment; FLEET_BUDGET</t>
  </si>
  <si>
    <t xml:space="preserve">Class 6 box truck: conventional cab and a 26 ft dry box with a roll-up rear door.</t>
  </si>
  <si>
    <t xml:space="preserve">WebXR/shared/fleet.js boxTruck() doc comment; FLEET_BUDGET</t>
  </si>
  <si>
    <t xml:space="preserve">Full-size crew-cab pickup, 5.9 m × 2.03 m × 1.95 m, 1.65 m bed.</t>
  </si>
  <si>
    <t xml:space="preserve">WebXR/shared/fleet.js pickup() doc comment; FLEET_BUDGET</t>
  </si>
  <si>
    <t xml:space="preserve">Mid-size sedan, 4.9 m × 1.85 m × 1.45 m.</t>
  </si>
  <si>
    <t xml:space="preserve">WebXR/shared/fleet.js sedan() doc comment; FLEET_BUDGET</t>
  </si>
  <si>
    <t xml:space="preserve">High-roof full-size cargo van, 5.93 m × 2.05 m × 2.75 m.</t>
  </si>
  <si>
    <t xml:space="preserve">WebXR/shared/fleet.js cargoVan() doc comment; FLEET_BUDGET</t>
  </si>
  <si>
    <t xml:space="preserve">Right-hand-drive walk-in delivery van, 4.6 m × 2.02 m × 2.42 m, the carrier's own kind of postal delivery vehicle rather than any manufacturer's: the driver's seat is on the kit's -x side and the single wide door slides open on that same side, so a carrier working a route of curbside boxes steps straight onto the curb without ever crossing behind or in front of the van into the travel lane.</t>
  </si>
  <si>
    <t xml:space="preserve">WebXR/shared/fleet.js deliveryVan() doc comment; FLEET_BUDGET</t>
  </si>
  <si>
    <t xml:space="preserve">Type III ambulance: cutaway van cab and a modular patient box, 7.0 m × 2.4 m × 3.0 m.</t>
  </si>
  <si>
    <t xml:space="preserve">WebXR/shared/fleet.js ambulance() doc comment; FLEET_BUDGET</t>
  </si>
  <si>
    <t xml:space="preserve">Pumper fire engine on a custom cab: 10.2 m × 2.5 m × 3.3 m.</t>
  </si>
  <si>
    <t xml:space="preserve">WebXR/shared/fleet.js fireEngine() doc comment; FLEET_BUDGET</t>
  </si>
  <si>
    <t xml:space="preserve">Insulated aerial device on a Class 7 utility body: 9.6 m × 2.5 m × 3.7 m stowed.</t>
  </si>
  <si>
    <t xml:space="preserve">WebXR/shared/fleet.js bucketTruck() doc comment; FLEET_BUDGET</t>
  </si>
  <si>
    <t xml:space="preserve">40 ft low-floor transit bus: 12.2 m × 2.59 m × 3.25 m to the roof pod.</t>
  </si>
  <si>
    <t xml:space="preserve">WebXR/shared/fleet.js busTransit() doc comment; FLEET_BUDGET</t>
  </si>
  <si>
    <t xml:space="preserve">Yellow school bus, Type C conventional: a truck-chassis hood and cab ahead of a bench-seat body, one continuous roofline, National School Bus Glossy Yellow with a black roof cap and skirt, "SCHOOL BUS" lettered on the side and rear.</t>
  </si>
  <si>
    <t xml:space="preserve">WebXR/shared/fleet.js schoolBus() doc comment; FLEET_BUDGET</t>
  </si>
  <si>
    <t xml:space="preserve">Counterbalance forklift, 5,000 lb LPG class: 2.3 m truck + 1.07 m forks, 1.15 m wide, overhead guard 2.15 m, mast lowered 2.1 m.</t>
  </si>
  <si>
    <t xml:space="preserve">WebXR/shared/fleet.js forkliftCounterbalance() doc comment; FLEET_BUDGET</t>
  </si>
  <si>
    <t xml:space="preserve">Terminal tractor (yard hustler): single-seat cab offset to the left, lifting fifth wheel, rear catwalk.</t>
  </si>
  <si>
    <t xml:space="preserve">WebXR/shared/fleet.js yardHustler() doc comment; FLEET_BUDGET</t>
  </si>
  <si>
    <t xml:space="preserve">Small aluminium workboat: 7.6 m × 2.6 m, keel at y 0, wheelhouse to 3.1 m with mast.</t>
  </si>
  <si>
    <t xml:space="preserve">WebXR/shared/fleet.js workboat() doc comment; FLEET_BUDGET</t>
  </si>
  <si>
    <t xml:space="preserve">Mid-size motor yacht: 24 m × 6 m, keel at y 0, main deck at 2.4 m, flybridge at 4.7 m, radar arch and mast light to 8 m.</t>
  </si>
  <si>
    <t xml:space="preserve">WebXR/shared/fleet.js motorYacht() doc comment; FLEET_BUDGET</t>
  </si>
  <si>
    <t xml:space="preserve">Rigid inflatable yacht tender: 4.2 m × 1.9 m, keel at y 0, tubes to 0.75 m, console to 1.2 m, one outboard on the transom.</t>
  </si>
  <si>
    <t xml:space="preserve">WebXR/shared/fleet.js yachtTender() doc comment; FLEET_BUDGET</t>
  </si>
  <si>
    <t xml:space="preserve">Aluminium centre-console skiff: 5.2 m × 2.0 m, keel at y 0, gunwale at about 0.8 m, console and grab rail to 1.4 m, one outboard on the transom.</t>
  </si>
  <si>
    <t xml:space="preserve">WebXR/shared/fleet.js skiff() doc comment; FLEET_BUDGET</t>
  </si>
  <si>
    <t xml:space="preserve">Flat steel deck barge, 16 m × 6 m × 1.8 m deep, raked both ends, four double bitts and a side ladder; `opts.kind: "hopper"` adds a lined sediment hopper — a coaming round the hold with a watertight liner and a load that a station raises as it fills (`load.scale.y`).</t>
  </si>
  <si>
    <t xml:space="preserve">WebXR/shared/fleet.js deckBarge() doc comment; FLEET_BUDGET</t>
  </si>
  <si>
    <t xml:space="preserve">Salvage crane barge: an 18 m spud barge carrying a revolving lattice-boom crane aft, its boom luffed over the bow.</t>
  </si>
  <si>
    <t xml:space="preserve">WebXR/shared/fleet.js salvageCraneBarge() doc comment; FLEET_BUDGET</t>
  </si>
  <si>
    <t xml:space="preserve">Debris and oil skimming vessel: an 11 m aluminium catamaran with a bow conveyor that lowers into the water and carries floating debris up into a collection basket, two sweep arms that swing out to funnel a slick or a trash line to the bow, a recovered-product tank with its hatch, and the wheelhouse aft.</t>
  </si>
  <si>
    <t xml:space="preserve">WebXR/shared/fleet.js skimmerVessel() doc comment; FLEET_BUDGET</t>
  </si>
  <si>
    <t xml:space="preserve">Marine knuckle-boom deck crane, pedestal mounted, for a workboat's or a barge's deck: slewing column, main boom, knuckle jib and hook on its fall, with the operator's lever bank on the pedestal.</t>
  </si>
  <si>
    <t xml:space="preserve">WebXR/shared/fleet.js deckCrane() doc comment; FLEET_BUDGET</t>
  </si>
  <si>
    <t xml:space="preserve">A derelict fibreglass sailboat, 9 m, dismasted, the kind that drags its anchor onto a mudflat or sinks at a mooring: faded gelcoat, a band of marine growth at the waterline, a stump of mast, open companionway, bow and stern cleats, a fuel vent on the quarter, and two marked sling points where a salvage rigger passes the lifting slings.</t>
  </si>
  <si>
    <t xml:space="preserve">WebXR/shared/fleet.js derelictBoat() doc comment; FLEET_BUDGET</t>
  </si>
  <si>
    <t xml:space="preserve">Sectional spud barge, the small flat-deck work barge a bay restoration job floats an excavator or a sediment load on: three bolted sections, 12.2 m by 6.1 m by 1.5 m deep, a raked bow at +Z, a sealed spill coaming round the deck so wet sediment drains to the deck's own sump rather than over the side, two spud wells at the stern with their spuds (raised; lower them by moving each spud's y down by up to `userData.lift`), four mooring bitts and sidelights for when a tug has it alongside.</t>
  </si>
  <si>
    <t xml:space="preserve">WebXR/shared/fleet.js spudBarge() doc comment; FLEET_BUDGET</t>
  </si>
  <si>
    <t xml:space="preserve">Observation-class ROV: 0.9 m long, 0.62 m wide, 0.5 m tall, an open aluminium frame under a yellow syntactic-foam flotation block, a camera dome forward, two LED lamps beside it, four thrusters (two horizontal aft, two vertical), a single-function manipulator jaw forward-low and a tether termination on top.</t>
  </si>
  <si>
    <t xml:space="preserve">WebXR/shared/fleet.js rov() doc comment; FLEET_BUDGET</t>
  </si>
  <si>
    <t xml:space="preserve">page</t>
  </si>
  <si>
    <t xml:space="preserve">bounds</t>
  </si>
  <si>
    <t xml:space="preserve">zones</t>
  </si>
  <si>
    <t xml:space="preserve">sites</t>
  </si>
  <si>
    <t xml:space="preserve">landmarks</t>
  </si>
  <si>
    <t xml:space="preserve">routes</t>
  </si>
  <si>
    <t xml:space="preserve">meshBudget</t>
  </si>
  <si>
    <t xml:space="preserve">quests</t>
  </si>
  <si>
    <t xml:space="preserve">eggs</t>
  </si>
  <si>
    <t xml:space="preserve">activities</t>
  </si>
  <si>
    <t xml:space="preserve">Bay World</t>
  </si>
  <si>
    <t xml:space="preserve">WebXR/dist/bayworld.html</t>
  </si>
  <si>
    <t xml:space="preserve">x -1200..1200, z -800..800</t>
  </si>
  <si>
    <t xml:space="preserve">15 roads</t>
  </si>
  <si>
    <t xml:space="preserve">100-3600</t>
  </si>
  <si>
    <t xml:space="preserve">WebXR/shared/bayworld-data.js; WebXR/bayworld/js/quests-data.js</t>
  </si>
  <si>
    <t xml:space="preserve">The Deep</t>
  </si>
  <si>
    <t xml:space="preserve">WebXR/dist/underwater.html</t>
  </si>
  <si>
    <t xml:space="preserve">x -1000..1000, z -700..700</t>
  </si>
  <si>
    <t xml:space="preserve">17 lines</t>
  </si>
  <si>
    <t xml:space="preserve">100-1400</t>
  </si>
  <si>
    <t xml:space="preserve">WebXR/shared/underwater-data.js; WebXR/underwater/js/dives-data.js</t>
  </si>
  <si>
    <t xml:space="preserve">Fairway Park</t>
  </si>
  <si>
    <t xml:space="preserve">WebXR/dist/fairway.html</t>
  </si>
  <si>
    <t xml:space="preserve">x -300..300, z -50..350</t>
  </si>
  <si>
    <t xml:space="preserve">9 holes</t>
  </si>
  <si>
    <t xml:space="preserve">par 36 over 9 holes</t>
  </si>
  <si>
    <t xml:space="preserve">130-900</t>
  </si>
  <si>
    <t xml:space="preserve">WebXR/shared/fairway-data.js</t>
  </si>
  <si>
    <t xml:space="preserve">Bay Regatta</t>
  </si>
  <si>
    <t xml:space="preserve">WebXR/dist/regatta.html</t>
  </si>
  <si>
    <t xml:space="preserve">12 yachts</t>
  </si>
  <si>
    <t xml:space="preserve">3 courses</t>
  </si>
  <si>
    <t xml:space="preserve">WebXR/shared/yacht-fleet.js; WebXR/regatta/js/courses.js; WebXR/regatta/js/events.js; bounds from WebXR/shared/bayworld-data.js</t>
  </si>
  <si>
    <t xml:space="preserve">golden-gate-deck (scenic district)</t>
  </si>
  <si>
    <t xml:space="preserve">WebXR/dist/smartcity-x.html</t>
  </si>
  <si>
    <t xml:space="preserve">120</t>
  </si>
  <si>
    <t xml:space="preserve">WebXR/smartcity/js/districts.js DISTRICTS (plaza: false), SCENIC_BUDGET</t>
  </si>
  <si>
    <t xml:space="preserve">bay-underwater (scenic district)</t>
  </si>
  <si>
    <t xml:space="preserve">gym-court (scenic district)</t>
  </si>
  <si>
    <t xml:space="preserve">open-range (scenic district)</t>
  </si>
  <si>
    <t xml:space="preserve">fairway-park (scenic district)</t>
  </si>
  <si>
    <t xml:space="preserve">bay-world (scenic district)</t>
  </si>
  <si>
    <t xml:space="preserve">the-deep (scenic district)</t>
  </si>
  <si>
    <t xml:space="preserve">path</t>
  </si>
  <si>
    <t xml:space="preserve">purpose</t>
  </si>
  <si>
    <t xml:space="preserve">inputModes</t>
  </si>
  <si>
    <t xml:space="preserve">hudPanelCount</t>
  </si>
  <si>
    <t xml:space="preserve">hudPanels</t>
  </si>
  <si>
    <t xml:space="preserve">Break Room Arcade</t>
  </si>
  <si>
    <t xml:space="preserve">WebXR/dist/arcade.html</t>
  </si>
  <si>
    <t xml:space="preserve">The training platform's other Easter egg: a row of four retro cabinets in the crew break room, each an original 2D canvas game — a climbing platformer, a side-scrolling runner, a falling-block stacker and a lane-crossing dodger — with pixel art, a chiptune soundtrack and local high scores.</t>
  </si>
  <si>
    <t xml:space="preserve">flat; keyboard; touch; gamepad</t>
  </si>
  <si>
    <t xml:space="preserve">hud-top</t>
  </si>
  <si>
    <t xml:space="preserve">WebXR/dist/arcade.html (&lt;title&gt;, meta description, input listeners, element ids)</t>
  </si>
  <si>
    <t xml:space="preserve">Bay Atlas</t>
  </si>
  <si>
    <t xml:space="preserve">WebXR/dist/atlas.html</t>
  </si>
  <si>
    <t xml:space="preserve">Every Bay World training site and landmark with its programmes and deep links, over a map: drawn from the world's own data, or over a real-world Mapbox map when you supply your own token.</t>
  </si>
  <si>
    <t xml:space="preserve">flat; keyboard; touch</t>
  </si>
  <si>
    <t xml:space="preserve">WebXR/dist/atlas.html (&lt;title&gt;, meta description, input listeners, element ids)</t>
  </si>
  <si>
    <t xml:space="preserve">A free-roam open-world city on the training platform: walk or drive anywhere, day and night, traffic and weather, a map, and missions that launch the platform's real training stations.</t>
  </si>
  <si>
    <t xml:space="preserve">hud; hud-buttons; hud-clock; hud-credits; hud-map-btn; hud-minimap; hud-objective; hud-phone; hud-prompt; hud-radio-btn; hud-reputation; hud-stats; hud-weather; hud-zone</t>
  </si>
  <si>
    <t xml:space="preserve">WebXR/dist/bayworld.html (&lt;title&gt;, meta description, input listeners, element ids)</t>
  </si>
  <si>
    <t xml:space="preserve">An original nine-hole golf course and an outdoor sports facility on the training platform: stroke play with a timed swing meter, real scoring, and a groundskeeper's log that scores course care alongside it.</t>
  </si>
  <si>
    <t xml:space="preserve">hud; hud-care; hud-clubs; hud-hole; hud-lie; hud-meter; hud-score; hud-wind</t>
  </si>
  <si>
    <t xml:space="preserve">WebXR/dist/fairway.html (&lt;title&gt;, meta description, input listeners, element ids)</t>
  </si>
  <si>
    <t xml:space="preserve">Holodeck ~ Speak a Simulation Into Existence</t>
  </si>
  <si>
    <t xml:space="preserve">WebXR/dist/holodeck.html</t>
  </si>
  <si>
    <t xml:space="preserve">Toolbox Talk Bingo</t>
  </si>
  <si>
    <t xml:space="preserve">flat; vr; keyboard; touch; gamepad; hands</t>
  </si>
  <si>
    <t xml:space="preserve">WebXR/dist/holodeck.html (&lt;title&gt;, meta description, input listeners, element ids)</t>
  </si>
  <si>
    <t xml:space="preserve">Training Simulators — every station</t>
  </si>
  <si>
    <t xml:space="preserve">WebXR/dist/index.html</t>
  </si>
  <si>
    <t xml:space="preserve">Every station in the training network on one page: 633 AR/VR simulators across 20 categories, with a deep link to each one.</t>
  </si>
  <si>
    <t xml:space="preserve">flat; keyboard</t>
  </si>
  <si>
    <t xml:space="preserve">WebXR/dist/index.html (&lt;title&gt;, meta description, input listeners, element ids)</t>
  </si>
  <si>
    <t xml:space="preserve">Instructor Console</t>
  </si>
  <si>
    <t xml:space="preserve">WebXR/dist/instructor-console.html</t>
  </si>
  <si>
    <t xml:space="preserve">A live view of the training sessions running on this machine — or through a relay — with the content and interaction controls for each learner: where they are, what they have hit, the station's own interruptions, its weather and device profile, and the programme they are on.</t>
  </si>
  <si>
    <t xml:space="preserve">panel; panel-ints; panel-steps; panel-where; panel-who</t>
  </si>
  <si>
    <t xml:space="preserve">WebXR/dist/instructor-console.html (&lt;title&gt;, meta description, input listeners, element ids)</t>
  </si>
  <si>
    <t xml:space="preserve">Night Highway Circuit</t>
  </si>
  <si>
    <t xml:space="preserve">WebXR/dist/race.html</t>
  </si>
  <si>
    <t xml:space="preserve">The training platform's Easter egg: an arcade racer on ten original courses (plus a Mirror class and a Battle Arena), driven in the platform's own fleet.</t>
  </si>
  <si>
    <t xml:space="preserve">huds</t>
  </si>
  <si>
    <t xml:space="preserve">WebXR/dist/race.html (&lt;title&gt;, meta description, input listeners, element ids)</t>
  </si>
  <si>
    <t xml:space="preserve">A fleet of twelve motor yachts on Bay World's water: hosted events with a safety briefing before every cast-off, three original race courses against the fleet, scored on marks, the no-wake zone, right of way and a clean docking.</t>
  </si>
  <si>
    <t xml:space="preserve">hud; hud-checks; hud-course; hud-course-map; hud-helm; hud-next; hud-speed; hud-time; hud-warn; hud-yacht</t>
  </si>
  <si>
    <t xml:space="preserve">WebXR/dist/regatta.html (&lt;title&gt;, meta description, input listeners, element ids)</t>
  </si>
  <si>
    <t xml:space="preserve">SmartCiti.X ~VR Simulators</t>
  </si>
  <si>
    <t xml:space="preserve">Training Activity Record</t>
  </si>
  <si>
    <t xml:space="preserve">flat; vr; ar; keyboard; touch; gamepad; hands</t>
  </si>
  <si>
    <t xml:space="preserve">WebXR/dist/smartcity-x.html (&lt;title&gt;, meta description, input listeners, element ids)</t>
  </si>
  <si>
    <t xml:space="preserve">WebXR/dist/trade-skills-simulator.html</t>
  </si>
  <si>
    <t xml:space="preserve">hud-combo; hud-count; hud-cue; hud-feedback; hud-fill; hud-gesture; hud-hint; hud-metrics; hud-mission; hud-objective; hud-progress; hud-rail; hud-room; hud-score; hud-step; hud-timer; hud-track</t>
  </si>
  <si>
    <t xml:space="preserve">WebXR/dist/trade-skills-simulator.html (&lt;title&gt;, meta description, input listeners, element ids)</t>
  </si>
  <si>
    <t xml:space="preserve">A dive game under the bay on the training platform: swim or pilot an ROV over a large seabed, a buddy line, an ascent line at every site, a reserve you watch rather than count, and job boards that launch the platform's real dive and restoration stations.</t>
  </si>
  <si>
    <t xml:space="preserve">hud; hud-activities-btn; hud-activity; hud-buttons; hud-clock; hud-craft; hud-credits; hud-light; hud-map-btn; hud-minimap; hud-objective; hud-prompt; hud-reputation; hud-reserve; hud-reserve-fill; hud-reserve-word; hud-slate; hud-stats; hud-surface-btn; hud-zone</t>
  </si>
  <si>
    <t xml:space="preserve">WebXR/dist/underwater.html (&lt;title&gt;, meta description, input listeners, element ids)</t>
  </si>
  <si>
    <t xml:space="preserve">Air Quality — Monitoring and Control — training track</t>
  </si>
  <si>
    <t xml:space="preserve">WebXR/dist/tracks/air-quality-monitoring.html</t>
  </si>
  <si>
    <t xml:space="preserve">Air Quality — Monitoring and Control: a twenty-level training track, 1540 lessons across 6 stations.</t>
  </si>
  <si>
    <t xml:space="preserve">flat</t>
  </si>
  <si>
    <t xml:space="preserve">WebXR/dist/tracks/air-quality-monitoring.html (&lt;title&gt;, meta description, input listeners, element ids)</t>
  </si>
  <si>
    <t xml:space="preserve">Airline Cabin and Flight Crew — AFA-CWA and ALPA — training track</t>
  </si>
  <si>
    <t xml:space="preserve">WebXR/dist/tracks/airline-cabin-and-flight-crew.html</t>
  </si>
  <si>
    <t xml:space="preserve">Airline Cabin and Flight Crew — AFA-CWA and ALPA: a twenty-level training track, 1552 lessons across 8 stations.</t>
  </si>
  <si>
    <t xml:space="preserve">WebXR/dist/tracks/airline-cabin-and-flight-crew.html (&lt;title&gt;, meta description, input listeners, element ids)</t>
  </si>
  <si>
    <t xml:space="preserve">Aviation Maintenance and Ground — IAM/TWU Ramp and Line — training track</t>
  </si>
  <si>
    <t xml:space="preserve">WebXR/dist/tracks/aviation-maintenance-and-ground.html</t>
  </si>
  <si>
    <t xml:space="preserve">Aviation Maintenance and Ground — IAM/TWU Ramp and Line: a twenty-level training track, 1649 lessons across 8 stations.</t>
  </si>
  <si>
    <t xml:space="preserve">WebXR/dist/tracks/aviation-maintenance-and-ground.html (&lt;title&gt;, meta description, input listeners, element ids)</t>
  </si>
  <si>
    <t xml:space="preserve">Bartending — Behind the Bar — training track</t>
  </si>
  <si>
    <t xml:space="preserve">WebXR/dist/tracks/bartending-course.html</t>
  </si>
  <si>
    <t xml:space="preserve">Bartending — Behind the Bar: a twenty-level training track, 1661 lessons across 16 stations.</t>
  </si>
  <si>
    <t xml:space="preserve">WebXR/dist/tracks/bartending-course.html (&lt;title&gt;, meta description, input listeners, element ids)</t>
  </si>
  <si>
    <t xml:space="preserve">Basketball Fundamentals — training track</t>
  </si>
  <si>
    <t xml:space="preserve">WebXR/dist/tracks/basketball-fundamentals.html</t>
  </si>
  <si>
    <t xml:space="preserve">Basketball Fundamentals: a twenty-level training track, 1680 lessons across 18 stations.</t>
  </si>
  <si>
    <t xml:space="preserve">WebXR/dist/tracks/basketball-fundamentals.html (&lt;title&gt;, meta description, input listeners, element ids)</t>
  </si>
  <si>
    <t xml:space="preserve">Bay Area Union Edition — Sheet Metal, Bridge, Port and Marine — training track</t>
  </si>
  <si>
    <t xml:space="preserve">WebXR/dist/tracks/bay-area-union-edition.html</t>
  </si>
  <si>
    <t xml:space="preserve">Bay Area Union Edition — Sheet Metal, Bridge, Port and Marine: a twenty-level training track, 1612 lessons across 42 stations.</t>
  </si>
  <si>
    <t xml:space="preserve">WebXR/dist/tracks/bay-area-union-edition.html (&lt;title&gt;, meta description, input listeners, element ids)</t>
  </si>
  <si>
    <t xml:space="preserve">SF Bay Restoration &amp; Cleanup — Maritime and Underwater — training track</t>
  </si>
  <si>
    <t xml:space="preserve">WebXR/dist/tracks/bay-restoration-maritime-underwater.html</t>
  </si>
  <si>
    <t xml:space="preserve">SF Bay Restoration &amp;amp; Cleanup — Maritime and Underwater: a twenty-level training track, 1641 lessons across 35 stations.</t>
  </si>
  <si>
    <t xml:space="preserve">WebXR/dist/tracks/bay-restoration-maritime-underwater.html (&lt;title&gt;, meta description, input listeners, element ids)</t>
  </si>
  <si>
    <t xml:space="preserve">Bridge and Structural Trades — training track</t>
  </si>
  <si>
    <t xml:space="preserve">WebXR/dist/tracks/bridge-and-structural.html</t>
  </si>
  <si>
    <t xml:space="preserve">Bridge and Structural Trades: a twenty-level training track, 1620 lessons across 7 stations.</t>
  </si>
  <si>
    <t xml:space="preserve">WebXR/dist/tracks/bridge-and-structural.html (&lt;title&gt;, meta description, input listeners, element ids)</t>
  </si>
  <si>
    <t xml:space="preserve">Builders — Carpenters, Laborers and Masons — training track</t>
  </si>
  <si>
    <t xml:space="preserve">WebXR/dist/tracks/builders-trades.html</t>
  </si>
  <si>
    <t xml:space="preserve">Builders — Carpenters, Laborers and Masons: a twenty-level training track, 1633 lessons across 8 stations.</t>
  </si>
  <si>
    <t xml:space="preserve">WebXR/dist/tracks/builders-trades.html (&lt;title&gt;, meta description, input listeners, element ids)</t>
  </si>
  <si>
    <t xml:space="preserve">Cement Masons and Plasterers — training track</t>
  </si>
  <si>
    <t xml:space="preserve">WebXR/dist/tracks/cement-masons-and-plasterers.html</t>
  </si>
  <si>
    <t xml:space="preserve">Cement Masons and Plasterers: a twenty-level training track, 1590 lessons across 8 stations.</t>
  </si>
  <si>
    <t xml:space="preserve">WebXR/dist/tracks/cement-masons-and-plasterers.html (&lt;title&gt;, meta description, input listeners, element ids)</t>
  </si>
  <si>
    <t xml:space="preserve">Civic Leadership and Emotional Intelligence — training track</t>
  </si>
  <si>
    <t xml:space="preserve">WebXR/dist/tracks/civic-leadership-and-ei.html</t>
  </si>
  <si>
    <t xml:space="preserve">Civic Leadership and Emotional Intelligence: a twenty-level training track, 1600 lessons across 17 stations.</t>
  </si>
  <si>
    <t xml:space="preserve">WebXR/dist/tracks/civic-leadership-and-ei.html (&lt;title&gt;, meta description, input listeners, element ids)</t>
  </si>
  <si>
    <t xml:space="preserve">Commercial Diving &amp; Scientific Scuba — training track</t>
  </si>
  <si>
    <t xml:space="preserve">WebXR/dist/tracks/commercial-diving-and-scientific-scuba.html</t>
  </si>
  <si>
    <t xml:space="preserve">Commercial Diving &amp;amp; Scientific Scuba: a twenty-level training track, 1650 lessons across 8 stations.</t>
  </si>
  <si>
    <t xml:space="preserve">WebXR/dist/tracks/commercial-diving-and-scientific-scuba.html (&lt;title&gt;, meta description, input listeners, element ids)</t>
  </si>
  <si>
    <t xml:space="preserve">Confined Space — Entry and Rescue — training track</t>
  </si>
  <si>
    <t xml:space="preserve">WebXR/dist/tracks/confined-space.html</t>
  </si>
  <si>
    <t xml:space="preserve">Confined Space — Entry and Rescue: a twenty-level training track, 1627 lessons across 8 stations.</t>
  </si>
  <si>
    <t xml:space="preserve">WebXR/dist/tracks/confined-space.html (&lt;title&gt;, meta description, input listeners, element ids)</t>
  </si>
  <si>
    <t xml:space="preserve">Culinary — The Working Kitchen — training track</t>
  </si>
  <si>
    <t xml:space="preserve">WebXR/dist/tracks/culinary-kitchen.html</t>
  </si>
  <si>
    <t xml:space="preserve">Culinary — The Working Kitchen: a twenty-level training track, 1610 lessons across 16 stations.</t>
  </si>
  <si>
    <t xml:space="preserve">WebXR/dist/tracks/culinary-kitchen.html (&lt;title&gt;, meta description, input listeners, element ids)</t>
  </si>
  <si>
    <t xml:space="preserve">Dental Careers — Unspoken Smiles — training track</t>
  </si>
  <si>
    <t xml:space="preserve">WebXR/dist/tracks/dental-careers-unspoken-smiles.html</t>
  </si>
  <si>
    <t xml:space="preserve">Dental Careers — Unspoken Smiles: a twenty-level training track, 1632 lessons across 19 stations.</t>
  </si>
  <si>
    <t xml:space="preserve">WebXR/dist/tracks/dental-careers-unspoken-smiles.html (&lt;title&gt;, meta description, input listeners, element ids)</t>
  </si>
  <si>
    <t xml:space="preserve">Dental Hygiene — Unspoken Smiles — training track</t>
  </si>
  <si>
    <t xml:space="preserve">WebXR/dist/tracks/dental-hygiene-unspoken-smiles.html</t>
  </si>
  <si>
    <t xml:space="preserve">Dental Hygiene — Unspoken Smiles: a twenty-level training track, 1648 lessons across 19 stations.</t>
  </si>
  <si>
    <t xml:space="preserve">WebXR/dist/tracks/dental-hygiene-unspoken-smiles.html (&lt;title&gt;, meta description, input listeners, element ids)</t>
  </si>
  <si>
    <t xml:space="preserve">Education Support Staff — Custodial, Grounds, Transport and Classroom — training track</t>
  </si>
  <si>
    <t xml:space="preserve">WebXR/dist/tracks/education-support-staff.html</t>
  </si>
  <si>
    <t xml:space="preserve">Education Support Staff — Custodial, Grounds, Transport and Classroom: a twenty-level training track, 1530 lessons across 8 stations.</t>
  </si>
  <si>
    <t xml:space="preserve">WebXR/dist/tracks/education-support-staff.html (&lt;title&gt;, meta description, input listeners, element ids)</t>
  </si>
  <si>
    <t xml:space="preserve">Inside Wireman — First Period — training track</t>
  </si>
  <si>
    <t xml:space="preserve">WebXR/dist/tracks/electrical-first-period.html</t>
  </si>
  <si>
    <t xml:space="preserve">Inside Wireman — First Period: a twenty-level training track, 1631 lessons across 8 stations.</t>
  </si>
  <si>
    <t xml:space="preserve">WebXR/dist/tracks/electrical-first-period.html (&lt;title&gt;, meta description, input listeners, element ids)</t>
  </si>
  <si>
    <t xml:space="preserve">Elevator Constructor — IUEC Core Skills — training track</t>
  </si>
  <si>
    <t xml:space="preserve">WebXR/dist/tracks/elevator-constructors.html</t>
  </si>
  <si>
    <t xml:space="preserve">Elevator Constructor — IUEC Core Skills: a twenty-level training track, 1670 lessons across 8 stations.</t>
  </si>
  <si>
    <t xml:space="preserve">WebXR/dist/tracks/elevator-constructors.html (&lt;title&gt;, meta description, input listeners, element ids)</t>
  </si>
  <si>
    <t xml:space="preserve">Energy Transition Systems — training track</t>
  </si>
  <si>
    <t xml:space="preserve">WebXR/dist/tracks/energy-transition.html</t>
  </si>
  <si>
    <t xml:space="preserve">Energy Transition Systems: a twenty-level training track, 1642 lessons across 9 stations.</t>
  </si>
  <si>
    <t xml:space="preserve">WebXR/dist/tracks/energy-transition.html (&lt;title&gt;, meta description, input listeners, element ids)</t>
  </si>
  <si>
    <t xml:space="preserve">Working at Height — Fall Protection — training track</t>
  </si>
  <si>
    <t xml:space="preserve">WebXR/dist/tracks/fall-protection.html</t>
  </si>
  <si>
    <t xml:space="preserve">Working at Height — Fall Protection: a twenty-level training track, 1650 lessons across 7 stations.</t>
  </si>
  <si>
    <t xml:space="preserve">WebXR/dist/tracks/fall-protection.html (&lt;title&gt;, meta description, input listeners, element ids)</t>
  </si>
  <si>
    <t xml:space="preserve">First Responders — Fire, EMS, Police, Crisis and Relief — training track</t>
  </si>
  <si>
    <t xml:space="preserve">WebXR/dist/tracks/first-responders.html</t>
  </si>
  <si>
    <t xml:space="preserve">First Responders — Fire, EMS, Police, Crisis and Relief: a twenty-level training track, 1703 lessons across 17 stations.</t>
  </si>
  <si>
    <t xml:space="preserve">WebXR/dist/tracks/first-responders.html (&lt;title&gt;, meta description, input listeners, element ids)</t>
  </si>
  <si>
    <t xml:space="preserve">Glaziers and Architectural Metal — training track</t>
  </si>
  <si>
    <t xml:space="preserve">WebXR/dist/tracks/glaziers-and-architectural-metal.html</t>
  </si>
  <si>
    <t xml:space="preserve">Glaziers and Architectural Metal: a twenty-level training track, 1741 lessons across 8 stations.</t>
  </si>
  <si>
    <t xml:space="preserve">WebXR/dist/tracks/glaziers-and-architectural-metal.html (&lt;title&gt;, meta description, input listeners, element ids)</t>
  </si>
  <si>
    <t xml:space="preserve">Grocery and Meatpacking — UFCW Store and Plant Floor — training track</t>
  </si>
  <si>
    <t xml:space="preserve">WebXR/dist/tracks/grocery-and-meatpacking.html</t>
  </si>
  <si>
    <t xml:space="preserve">Grocery and Meatpacking — UFCW Store and Plant Floor: a twenty-level training track, 1693 lessons across 8 stations.</t>
  </si>
  <si>
    <t xml:space="preserve">WebXR/dist/tracks/grocery-and-meatpacking.html (&lt;title&gt;, meta description, input listeners, element ids)</t>
  </si>
  <si>
    <t xml:space="preserve">Grounds &amp; Landscaping Crew — training track</t>
  </si>
  <si>
    <t xml:space="preserve">WebXR/dist/tracks/grounds-and-landscaping.html</t>
  </si>
  <si>
    <t xml:space="preserve">Grounds &amp;amp; Landscaping Crew: a twenty-level training track, 1705 lessons across 12 stations.</t>
  </si>
  <si>
    <t xml:space="preserve">WebXR/dist/tracks/grounds-and-landscaping.html (&lt;title&gt;, meta description, input listeners, element ids)</t>
  </si>
  <si>
    <t xml:space="preserve">Hazmat and Environmental Response — training track</t>
  </si>
  <si>
    <t xml:space="preserve">WebXR/dist/tracks/hazmat-environmental.html</t>
  </si>
  <si>
    <t xml:space="preserve">Hazmat and Environmental Response: a twenty-level training track, 1626 lessons across 10 stations.</t>
  </si>
  <si>
    <t xml:space="preserve">WebXR/dist/tracks/hazmat-environmental.html (&lt;title&gt;, meta description, input listeners, element ids)</t>
  </si>
  <si>
    <t xml:space="preserve">Healthcare Support — training track</t>
  </si>
  <si>
    <t xml:space="preserve">WebXR/dist/tracks/healthcare-support.html</t>
  </si>
  <si>
    <t xml:space="preserve">Healthcare Support: a twenty-level training track, 1702 lessons across 8 stations.</t>
  </si>
  <si>
    <t xml:space="preserve">WebXR/dist/tracks/healthcare-support.html (&lt;title&gt;, meta description, input listeners, element ids)</t>
  </si>
  <si>
    <t xml:space="preserve">Heavy Equipment Operators — IUOE Local 3 — training track</t>
  </si>
  <si>
    <t xml:space="preserve">WebXR/dist/tracks/heavy-equipment-operators.html</t>
  </si>
  <si>
    <t xml:space="preserve">Heavy Equipment Operators — IUOE Local 3: a twenty-level training track, 1689 lessons across 8 stations.</t>
  </si>
  <si>
    <t xml:space="preserve">WebXR/dist/tracks/heavy-equipment-operators.html (&lt;title&gt;, meta description, input listeners, element ids)</t>
  </si>
  <si>
    <t xml:space="preserve">Hotel Workers — Back of House — training track</t>
  </si>
  <si>
    <t xml:space="preserve">WebXR/dist/tracks/hotel-workers.html</t>
  </si>
  <si>
    <t xml:space="preserve">Hotel Workers — Back of House: a twenty-level training track, 1660 lessons across 7 stations.</t>
  </si>
  <si>
    <t xml:space="preserve">WebXR/dist/tracks/hotel-workers.html (&lt;title&gt;, meta description, input listeners, element ids)</t>
  </si>
  <si>
    <t xml:space="preserve">Hunters Point Clean-up and Bay Restoration — training track</t>
  </si>
  <si>
    <t xml:space="preserve">WebXR/dist/tracks/hunters-point-bay-restoration.html</t>
  </si>
  <si>
    <t xml:space="preserve">Hunters Point Clean-up and Bay Restoration: a twenty-level training track, 1590 lessons across 26 stations.</t>
  </si>
  <si>
    <t xml:space="preserve">WebXR/dist/tracks/hunters-point-bay-restoration.html (&lt;title&gt;, meta description, input listeners, element ids)</t>
  </si>
  <si>
    <t xml:space="preserve">Hunters Point Edition — Can We Live? — training track</t>
  </si>
  <si>
    <t xml:space="preserve">WebXR/dist/tracks/hunters-point-can-we-live.html</t>
  </si>
  <si>
    <t xml:space="preserve">Hunters Point Edition — Can We Live?: a twenty-level training track, 1615 lessons across 26 stations.</t>
  </si>
  <si>
    <t xml:space="preserve">WebXR/dist/tracks/hunters-point-can-we-live.html (&lt;title&gt;, meta description, input listeners, element ids)</t>
  </si>
  <si>
    <t xml:space="preserve">Insulators and Boilermakers — Building Systems — training track</t>
  </si>
  <si>
    <t xml:space="preserve">WebXR/dist/tracks/insulators-and-boilermakers.html</t>
  </si>
  <si>
    <t xml:space="preserve">Insulators and Boilermakers — Building Systems: a twenty-level training track, 1693 lessons across 8 stations.</t>
  </si>
  <si>
    <t xml:space="preserve">WebXR/dist/tracks/insulators-and-boilermakers.html (&lt;title&gt;, meta description, input listeners, element ids)</t>
  </si>
  <si>
    <t xml:space="preserve">Job Readiness Edition — wojrc.org programmes — training track</t>
  </si>
  <si>
    <t xml:space="preserve">WebXR/dist/tracks/job-readiness-edition.html</t>
  </si>
  <si>
    <t xml:space="preserve">Job Readiness Edition — wojrc.org programmes: a twenty-level training track, 1593 lessons across 32 stations.</t>
  </si>
  <si>
    <t xml:space="preserve">WebXR/dist/tracks/job-readiness-edition.html (&lt;title&gt;, meta description, input listeners, element ids)</t>
  </si>
  <si>
    <t xml:space="preserve">Live Events Production — training track</t>
  </si>
  <si>
    <t xml:space="preserve">WebXR/dist/tracks/live-events.html</t>
  </si>
  <si>
    <t xml:space="preserve">Live Events Production: a twenty-level training track, 1620 lessons across 7 stations.</t>
  </si>
  <si>
    <t xml:space="preserve">WebXR/dist/tracks/live-events.html (&lt;title&gt;, meta description, input listeners, element ids)</t>
  </si>
  <si>
    <t xml:space="preserve">Marine Ecology &amp; Restoration — Survey and Restoration Crews — training track</t>
  </si>
  <si>
    <t xml:space="preserve">WebXR/dist/tracks/marine-ecology-and-restoration.html</t>
  </si>
  <si>
    <t xml:space="preserve">Marine Ecology &amp;amp; Restoration — Survey and Restoration Crews: a twenty-level training track, 1521 lessons across 8 stations.</t>
  </si>
  <si>
    <t xml:space="preserve">WebXR/dist/tracks/marine-ecology-and-restoration.html (&lt;title&gt;, meta description, input listeners, element ids)</t>
  </si>
  <si>
    <t xml:space="preserve">Mill and Mine — training track</t>
  </si>
  <si>
    <t xml:space="preserve">WebXR/dist/tracks/mill-and-mine.html</t>
  </si>
  <si>
    <t xml:space="preserve">Mill and Mine: a twenty-level training track, 1611 lessons across 8 stations.</t>
  </si>
  <si>
    <t xml:space="preserve">WebXR/dist/tracks/mill-and-mine.html (&lt;title&gt;, meta description, input listeners, element ids)</t>
  </si>
  <si>
    <t xml:space="preserve">Outbreak and Disease Response — WHO and UN Practice — training track</t>
  </si>
  <si>
    <t xml:space="preserve">WebXR/dist/tracks/outbreak-response-who.html</t>
  </si>
  <si>
    <t xml:space="preserve">Outbreak and Disease Response — WHO and UN Practice: a twenty-level training track, 1548 lessons across 11 stations.</t>
  </si>
  <si>
    <t xml:space="preserve">WebXR/dist/tracks/outbreak-response-who.html (&lt;title&gt;, meta description, input listeners, element ids)</t>
  </si>
  <si>
    <t xml:space="preserve">Plumbers and Pipefitters — Journeyman Rough-In and Test Block — training track</t>
  </si>
  <si>
    <t xml:space="preserve">WebXR/dist/tracks/plumbers-and-pipefitters.html</t>
  </si>
  <si>
    <t xml:space="preserve">Plumbers and Pipefitters — Journeyman Rough-In and Test Block: a twenty-level training track, 1670 lessons across 8 stations.</t>
  </si>
  <si>
    <t xml:space="preserve">WebXR/dist/tracks/plumbers-and-pipefitters.html (&lt;title&gt;, meta description, input listeners, element ids)</t>
  </si>
  <si>
    <t xml:space="preserve">Port and Terminal Operations — training track</t>
  </si>
  <si>
    <t xml:space="preserve">WebXR/dist/tracks/port-operations.html</t>
  </si>
  <si>
    <t xml:space="preserve">Port and Terminal Operations: a twenty-level training track, 1660 lessons across 7 stations.</t>
  </si>
  <si>
    <t xml:space="preserve">WebXR/dist/tracks/port-operations.html (&lt;title&gt;, meta description, input listeners, element ids)</t>
  </si>
  <si>
    <t xml:space="preserve">Ports, Maritime and Bay Ecology — training track</t>
  </si>
  <si>
    <t xml:space="preserve">WebXR/dist/tracks/ports-maritime-ecology.html</t>
  </si>
  <si>
    <t xml:space="preserve">Ports, Maritime and Bay Ecology: a twenty-level training track, 1619 lessons across 11 stations.</t>
  </si>
  <si>
    <t xml:space="preserve">WebXR/dist/tracks/ports-maritime-ecology.html (&lt;title&gt;, meta description, input listeners, element ids)</t>
  </si>
  <si>
    <t xml:space="preserve">Postal &amp; Mail Processing Crew — training track</t>
  </si>
  <si>
    <t xml:space="preserve">WebXR/dist/tracks/postal-and-mail-processing.html</t>
  </si>
  <si>
    <t xml:space="preserve">Postal &amp;amp; Mail Processing Crew: a twenty-level training track, 1550 lessons across 8 stations.</t>
  </si>
  <si>
    <t xml:space="preserve">WebXR/dist/tracks/postal-and-mail-processing.html (&lt;title&gt;, meta description, input listeners, element ids)</t>
  </si>
  <si>
    <t xml:space="preserve">Property Management — Twenty Zones — training track</t>
  </si>
  <si>
    <t xml:space="preserve">WebXR/dist/tracks/property-management.html</t>
  </si>
  <si>
    <t xml:space="preserve">Property Management — Twenty Zones: a twenty-level training track, 1590 lessons across 21 stations.</t>
  </si>
  <si>
    <t xml:space="preserve">WebXR/dist/tracks/property-management.html (&lt;title&gt;, meta description, input listeners, element ids)</t>
  </si>
  <si>
    <t xml:space="preserve">Railroad Crafts — Track, Car and Cab — training track</t>
  </si>
  <si>
    <t xml:space="preserve">WebXR/dist/tracks/railroad-crafts.html</t>
  </si>
  <si>
    <t xml:space="preserve">Railroad Crafts — Track, Car and Cab: a twenty-level training track, 1741 lessons across 8 stations.</t>
  </si>
  <si>
    <t xml:space="preserve">WebXR/dist/tracks/railroad-crafts.html (&lt;title&gt;, meta description, input listeners, element ids)</t>
  </si>
  <si>
    <t xml:space="preserve">Rigging and Lifting — training track</t>
  </si>
  <si>
    <t xml:space="preserve">WebXR/dist/tracks/rigging-lifting.html</t>
  </si>
  <si>
    <t xml:space="preserve">Rigging and Lifting: a twenty-level training track, 1580 lessons across 6 stations.</t>
  </si>
  <si>
    <t xml:space="preserve">WebXR/dist/tracks/rigging-lifting.html (&lt;title&gt;, meta description, input listeners, element ids)</t>
  </si>
  <si>
    <t xml:space="preserve">Roofers and Waterproofers — training track</t>
  </si>
  <si>
    <t xml:space="preserve">WebXR/dist/tracks/roofers-and-waterproofers.html</t>
  </si>
  <si>
    <t xml:space="preserve">Roofers and Waterproofers: a twenty-level training track, 1680 lessons across 8 stations.</t>
  </si>
  <si>
    <t xml:space="preserve">WebXR/dist/tracks/roofers-and-waterproofers.html (&lt;title&gt;, meta description, input listeners, element ids)</t>
  </si>
  <si>
    <t xml:space="preserve">Screen &amp; Media Crafts — training track</t>
  </si>
  <si>
    <t xml:space="preserve">WebXR/dist/tracks/screen-and-media-crafts.html</t>
  </si>
  <si>
    <t xml:space="preserve">Screen &amp;amp; Media Crafts: a twenty-level training track, 1569 lessons across 8 stations.</t>
  </si>
  <si>
    <t xml:space="preserve">WebXR/dist/tracks/screen-and-media-crafts.html (&lt;title&gt;, meta description, input listeners, element ids)</t>
  </si>
  <si>
    <t xml:space="preserve">Sewing and Garment Trades — training track</t>
  </si>
  <si>
    <t xml:space="preserve">WebXR/dist/tracks/sewing-garment-trades.html</t>
  </si>
  <si>
    <t xml:space="preserve">Sewing and Garment Trades: a twenty-level training track, 1578 lessons across 11 stations.</t>
  </si>
  <si>
    <t xml:space="preserve">WebXR/dist/tracks/sewing-garment-trades.html (&lt;title&gt;, meta description, input listeners, element ids)</t>
  </si>
  <si>
    <t xml:space="preserve">Situational Awareness — Interruption Drill — training track</t>
  </si>
  <si>
    <t xml:space="preserve">WebXR/dist/tracks/situational-awareness.html</t>
  </si>
  <si>
    <t xml:space="preserve">Situational Awareness — Interruption Drill: a twenty-level training track, 1628 lessons across 22 stations.</t>
  </si>
  <si>
    <t xml:space="preserve">WebXR/dist/tracks/situational-awareness.html (&lt;title&gt;, meta description, input listeners, element ids)</t>
  </si>
  <si>
    <t xml:space="preserve">Stationary Engineer — Building Plant — training track</t>
  </si>
  <si>
    <t xml:space="preserve">WebXR/dist/tracks/stationary-engineer.html</t>
  </si>
  <si>
    <t xml:space="preserve">Stationary Engineer — Building Plant: a twenty-level training track, 1530 lessons across 7 stations.</t>
  </si>
  <si>
    <t xml:space="preserve">WebXR/dist/tracks/stationary-engineer.html (&lt;title&gt;, meta description, input listeners, element ids)</t>
  </si>
  <si>
    <t xml:space="preserve">Transit and Ramp Operations — training track</t>
  </si>
  <si>
    <t xml:space="preserve">WebXR/dist/tracks/transit-ramp.html</t>
  </si>
  <si>
    <t xml:space="preserve">Transit and Ramp Operations: a twenty-level training track, 1600 lessons across 7 stations.</t>
  </si>
  <si>
    <t xml:space="preserve">WebXR/dist/tracks/transit-ramp.html (&lt;title&gt;, meta description, input listeners, element ids)</t>
  </si>
  <si>
    <t xml:space="preserve">Warehouse and Logistics Automation — Teamsters Distribution Floor — training track</t>
  </si>
  <si>
    <t xml:space="preserve">WebXR/dist/tracks/warehouse-and-logistics-automation.html</t>
  </si>
  <si>
    <t xml:space="preserve">Warehouse and Logistics Automation — Teamsters Distribution Floor: a twenty-level training track, 1568 lessons across 8 stations.</t>
  </si>
  <si>
    <t xml:space="preserve">WebXR/dist/tracks/warehouse-and-logistics-automation.html (&lt;title&gt;, meta description, input listeners, element ids)</t>
  </si>
  <si>
    <t xml:space="preserve">Water and Gas Utility Crews — Distribution Authority — training track</t>
  </si>
  <si>
    <t xml:space="preserve">WebXR/dist/tracks/water-and-gas-utility-crews.html</t>
  </si>
  <si>
    <t xml:space="preserve">Water and Gas Utility Crews — Distribution Authority: a twenty-level training track, 1660 lessons across 8 stations.</t>
  </si>
  <si>
    <t xml:space="preserve">WebXR/dist/tracks/water-and-gas-utility-crews.html (&lt;title&gt;, meta description, input listeners, element ids)</t>
  </si>
  <si>
    <t xml:space="preserve">Pathway Edition — wojrc.org — training track</t>
  </si>
  <si>
    <t xml:space="preserve">WebXR/dist/tracks/wojrc-pathway-edition.html</t>
  </si>
  <si>
    <t xml:space="preserve">Pathway Edition — wojrc.org: a twenty-level training track, 1592 lessons across 40 stations.</t>
  </si>
  <si>
    <t xml:space="preserve">WebXR/dist/tracks/wojrc-pathway-edition.html (&lt;title&gt;, meta description, input listeners, element ids)</t>
  </si>
  <si>
    <t xml:space="preserve">Yacht &amp; Charter Crew — training track</t>
  </si>
  <si>
    <t xml:space="preserve">WebXR/dist/tracks/yacht-and-charter-crew.html</t>
  </si>
  <si>
    <t xml:space="preserve">Yacht &amp;amp; Charter Crew: a twenty-level training track, 1552 lessons across 8 stations.</t>
  </si>
  <si>
    <t xml:space="preserve">WebXR/dist/tracks/yacht-and-charter-crew.html (&lt;title&gt;, meta description, input listeners, element ids)</t>
  </si>
  <si>
    <t xml:space="preserve">abbrev</t>
  </si>
  <si>
    <t xml:space="preserve">trainingBody</t>
  </si>
  <si>
    <t xml:space="preserve">aaup</t>
  </si>
  <si>
    <t xml:space="preserve">AAUP</t>
  </si>
  <si>
    <t xml:space="preserve">American Association of University Professors</t>
  </si>
  <si>
    <t xml:space="preserve">aaup-training</t>
  </si>
  <si>
    <t xml:space="preserve">aea</t>
  </si>
  <si>
    <t xml:space="preserve">Actors' Equity</t>
  </si>
  <si>
    <t xml:space="preserve">Actors' Equity Association</t>
  </si>
  <si>
    <t xml:space="preserve">aea-training</t>
  </si>
  <si>
    <t xml:space="preserve">afa-cwa</t>
  </si>
  <si>
    <t xml:space="preserve">AFA-CWA</t>
  </si>
  <si>
    <t xml:space="preserve">Association of Flight Attendants-CWA</t>
  </si>
  <si>
    <t xml:space="preserve">afa-cwa-training</t>
  </si>
  <si>
    <t xml:space="preserve">afge</t>
  </si>
  <si>
    <t xml:space="preserve">AFGE</t>
  </si>
  <si>
    <t xml:space="preserve">American Federation of Government Employees</t>
  </si>
  <si>
    <t xml:space="preserve">afge-training</t>
  </si>
  <si>
    <t xml:space="preserve">afl-cio-maritime-trades</t>
  </si>
  <si>
    <t xml:space="preserve">MTD (Maritime)</t>
  </si>
  <si>
    <t xml:space="preserve">Maritime Trades Department, AFL-CIO</t>
  </si>
  <si>
    <t xml:space="preserve">afl-cio-maritime-trades-training</t>
  </si>
  <si>
    <t xml:space="preserve">afl-cio-metal-trades</t>
  </si>
  <si>
    <t xml:space="preserve">AFL-CIO MTD</t>
  </si>
  <si>
    <t xml:space="preserve">Metal Trades Department, AFL-CIO</t>
  </si>
  <si>
    <t xml:space="preserve">afl-cio-metal-trades-training</t>
  </si>
  <si>
    <t xml:space="preserve">afm</t>
  </si>
  <si>
    <t xml:space="preserve">AFM</t>
  </si>
  <si>
    <t xml:space="preserve">American Federation of Musicians</t>
  </si>
  <si>
    <t xml:space="preserve">afm-training</t>
  </si>
  <si>
    <t xml:space="preserve">afm-local6</t>
  </si>
  <si>
    <t xml:space="preserve">AFM Local 6</t>
  </si>
  <si>
    <t xml:space="preserve">American Federation of Musicians Local 6</t>
  </si>
  <si>
    <t xml:space="preserve">afm-local6-training</t>
  </si>
  <si>
    <t xml:space="preserve">afsa</t>
  </si>
  <si>
    <t xml:space="preserve">AFSA</t>
  </si>
  <si>
    <t xml:space="preserve">American Federation of School Administrators</t>
  </si>
  <si>
    <t xml:space="preserve">afsa-training</t>
  </si>
  <si>
    <t xml:space="preserve">afscme</t>
  </si>
  <si>
    <t xml:space="preserve">AFSCME</t>
  </si>
  <si>
    <t xml:space="preserve">American Federation of State, County and Municipal Employees</t>
  </si>
  <si>
    <t xml:space="preserve">afscme-training</t>
  </si>
  <si>
    <t xml:space="preserve">air-quality-monitoring; basketball-fundamentals; bay-restoration-maritime-underwater; civic-leadership-and-ei; culinary-kitchen; dental-careers-unspoken-smiles; dental-hygiene-unspoken-smiles; first-responders; grounds-and-landscaping; job-readiness-edition; marine-ecology-and-restoration; outbreak-response-who; wojrc-pathway-edition</t>
  </si>
  <si>
    <t xml:space="preserve">afscme-local3299</t>
  </si>
  <si>
    <t xml:space="preserve">AFSCME Local 3299</t>
  </si>
  <si>
    <t xml:space="preserve">afscme-local3299-training</t>
  </si>
  <si>
    <t xml:space="preserve">aft</t>
  </si>
  <si>
    <t xml:space="preserve">AFT</t>
  </si>
  <si>
    <t xml:space="preserve">American Federation of Teachers</t>
  </si>
  <si>
    <t xml:space="preserve">aft-training</t>
  </si>
  <si>
    <t xml:space="preserve">alpa</t>
  </si>
  <si>
    <t xml:space="preserve">ALPA</t>
  </si>
  <si>
    <t xml:space="preserve">Air Line Pilots Association, International</t>
  </si>
  <si>
    <t xml:space="preserve">alpa-training</t>
  </si>
  <si>
    <t xml:space="preserve">amo</t>
  </si>
  <si>
    <t xml:space="preserve">AMO</t>
  </si>
  <si>
    <t xml:space="preserve">American Maritime Officers</t>
  </si>
  <si>
    <t xml:space="preserve">amo-training</t>
  </si>
  <si>
    <t xml:space="preserve">apwu</t>
  </si>
  <si>
    <t xml:space="preserve">APWU</t>
  </si>
  <si>
    <t xml:space="preserve">American Postal Workers Union</t>
  </si>
  <si>
    <t xml:space="preserve">apwu-training</t>
  </si>
  <si>
    <t xml:space="preserve">atu</t>
  </si>
  <si>
    <t xml:space="preserve">ATU</t>
  </si>
  <si>
    <t xml:space="preserve">Amalgamated Transit Union</t>
  </si>
  <si>
    <t xml:space="preserve">atu-training</t>
  </si>
  <si>
    <t xml:space="preserve">atu-local192</t>
  </si>
  <si>
    <t xml:space="preserve">ATU Local 192</t>
  </si>
  <si>
    <t xml:space="preserve">Amalgamated Transit Union Local 192</t>
  </si>
  <si>
    <t xml:space="preserve">atu-local192-training</t>
  </si>
  <si>
    <t xml:space="preserve">atu-local265</t>
  </si>
  <si>
    <t xml:space="preserve">ATU Local 265</t>
  </si>
  <si>
    <t xml:space="preserve">Amalgamated Transit Union Local 265</t>
  </si>
  <si>
    <t xml:space="preserve">atu-local265-training</t>
  </si>
  <si>
    <t xml:space="preserve">bac</t>
  </si>
  <si>
    <t xml:space="preserve">BAC</t>
  </si>
  <si>
    <t xml:space="preserve">International Union of Bricklayers and Allied Craftworkers</t>
  </si>
  <si>
    <t xml:space="preserve">bac-imi</t>
  </si>
  <si>
    <t xml:space="preserve">bac-local3-ca</t>
  </si>
  <si>
    <t xml:space="preserve">BAC Local 3 CA</t>
  </si>
  <si>
    <t xml:space="preserve">Bricklayers and Allied Craftworkers Local 3 California</t>
  </si>
  <si>
    <t xml:space="preserve">bac-local3-ca-training</t>
  </si>
  <si>
    <t xml:space="preserve">bctgm</t>
  </si>
  <si>
    <t xml:space="preserve">BCTGM</t>
  </si>
  <si>
    <t xml:space="preserve">Bakery, Confectionery, Tobacco Workers and Grain Millers International Union</t>
  </si>
  <si>
    <t xml:space="preserve">bctgm-training</t>
  </si>
  <si>
    <t xml:space="preserve">blet</t>
  </si>
  <si>
    <t xml:space="preserve">BLET</t>
  </si>
  <si>
    <t xml:space="preserve">Brotherhood of Locomotive Engineers and Trainmen</t>
  </si>
  <si>
    <t xml:space="preserve">blet-training</t>
  </si>
  <si>
    <t xml:space="preserve">bmwed</t>
  </si>
  <si>
    <t xml:space="preserve">BMWED</t>
  </si>
  <si>
    <t xml:space="preserve">Brotherhood of Maintenance of Way Employes Division</t>
  </si>
  <si>
    <t xml:space="preserve">bmwed-training</t>
  </si>
  <si>
    <t xml:space="preserve">brs</t>
  </si>
  <si>
    <t xml:space="preserve">BRS</t>
  </si>
  <si>
    <t xml:space="preserve">Brotherhood of Railroad Signalmen</t>
  </si>
  <si>
    <t xml:space="preserve">brs-training</t>
  </si>
  <si>
    <t xml:space="preserve">carpenters</t>
  </si>
  <si>
    <t xml:space="preserve">UBC</t>
  </si>
  <si>
    <t xml:space="preserve">United Brotherhood of Carpenters and Joiners of America</t>
  </si>
  <si>
    <t xml:space="preserve">carpenters-ictf</t>
  </si>
  <si>
    <t xml:space="preserve">bay-area-union-edition; bay-restoration-maritime-underwater; builders-trades; commercial-diving-and-scientific-scuba; fall-protection; hunters-point-bay-restoration</t>
  </si>
  <si>
    <t xml:space="preserve">carpenters-local22</t>
  </si>
  <si>
    <t xml:space="preserve">Carpenters Local 22</t>
  </si>
  <si>
    <t xml:space="preserve">United Brotherhood of Carpenters Local 22</t>
  </si>
  <si>
    <t xml:space="preserve">carpenters-local22-training</t>
  </si>
  <si>
    <t xml:space="preserve">cna</t>
  </si>
  <si>
    <t xml:space="preserve">CNA</t>
  </si>
  <si>
    <t xml:space="preserve">California Nurses Association</t>
  </si>
  <si>
    <t xml:space="preserve">csea</t>
  </si>
  <si>
    <t xml:space="preserve">CSEA</t>
  </si>
  <si>
    <t xml:space="preserve">California School Employees Association</t>
  </si>
  <si>
    <t xml:space="preserve">csea-training</t>
  </si>
  <si>
    <t xml:space="preserve">cwa</t>
  </si>
  <si>
    <t xml:space="preserve">CWA</t>
  </si>
  <si>
    <t xml:space="preserve">Communications Workers of America</t>
  </si>
  <si>
    <t xml:space="preserve">cwa-training</t>
  </si>
  <si>
    <t xml:space="preserve">airline-cabin-and-flight-crew; fall-protection; marine-ecology-and-restoration; screen-and-media-crafts</t>
  </si>
  <si>
    <t xml:space="preserve">dpe</t>
  </si>
  <si>
    <t xml:space="preserve">DPE</t>
  </si>
  <si>
    <t xml:space="preserve">Department for Professional Employees, AFL-CIO</t>
  </si>
  <si>
    <t xml:space="preserve">dpe-training</t>
  </si>
  <si>
    <t xml:space="preserve">fast</t>
  </si>
  <si>
    <t xml:space="preserve">FAST</t>
  </si>
  <si>
    <t xml:space="preserve">Food &amp; Allied Service Trades Department, AFL-CIO</t>
  </si>
  <si>
    <t xml:space="preserve">fast-training</t>
  </si>
  <si>
    <t xml:space="preserve">fop</t>
  </si>
  <si>
    <t xml:space="preserve">FOP</t>
  </si>
  <si>
    <t xml:space="preserve">Fraternal Order of Police</t>
  </si>
  <si>
    <t xml:space="preserve">iaff</t>
  </si>
  <si>
    <t xml:space="preserve">IAFF</t>
  </si>
  <si>
    <t xml:space="preserve">International Association of Fire Fighters</t>
  </si>
  <si>
    <t xml:space="preserve">iaff-training</t>
  </si>
  <si>
    <t xml:space="preserve">confined-space; first-responders; hazmat-environmental; situational-awareness</t>
  </si>
  <si>
    <t xml:space="preserve">iam</t>
  </si>
  <si>
    <t xml:space="preserve">IAM</t>
  </si>
  <si>
    <t xml:space="preserve">International Association of Machinists and Aerospace Workers</t>
  </si>
  <si>
    <t xml:space="preserve">iam-winpisinger-center</t>
  </si>
  <si>
    <t xml:space="preserve">aviation-maintenance-and-ground; transit-ramp</t>
  </si>
  <si>
    <t xml:space="preserve">IATSE</t>
  </si>
  <si>
    <t xml:space="preserve">International Alliance of Theatrical Stage Employees</t>
  </si>
  <si>
    <t xml:space="preserve">live-events; rigging-lifting; screen-and-media-crafts</t>
  </si>
  <si>
    <t xml:space="preserve">iatse-local16</t>
  </si>
  <si>
    <t xml:space="preserve">IATSE Local 16</t>
  </si>
  <si>
    <t xml:space="preserve">iatse-local16-training</t>
  </si>
  <si>
    <t xml:space="preserve">ibb</t>
  </si>
  <si>
    <t xml:space="preserve">IBB</t>
  </si>
  <si>
    <t xml:space="preserve">International Brotherhood of Boilermakers, Iron Ship Builders, Blacksmiths, Forgers and Helpers</t>
  </si>
  <si>
    <t xml:space="preserve">boilermakers-local-549</t>
  </si>
  <si>
    <t xml:space="preserve">IBEW</t>
  </si>
  <si>
    <t xml:space="preserve">International Brotherhood of Electrical Workers</t>
  </si>
  <si>
    <t xml:space="preserve">electrical-first-period; energy-transition; ports-maritime-ecology; situational-awareness; transit-ramp; water-and-gas-utility-crews</t>
  </si>
  <si>
    <t xml:space="preserve">ibew-local1245</t>
  </si>
  <si>
    <t xml:space="preserve">IBEW Local 1245</t>
  </si>
  <si>
    <t xml:space="preserve">ibew-local1245-training</t>
  </si>
  <si>
    <t xml:space="preserve">ibew-local595</t>
  </si>
  <si>
    <t xml:space="preserve">IBEW Local 595</t>
  </si>
  <si>
    <t xml:space="preserve">ibew-local595-training</t>
  </si>
  <si>
    <t xml:space="preserve">ibew-local6</t>
  </si>
  <si>
    <t xml:space="preserve">IBEW Local 6</t>
  </si>
  <si>
    <t xml:space="preserve">ibew-local6-training</t>
  </si>
  <si>
    <t xml:space="preserve">ibu</t>
  </si>
  <si>
    <t xml:space="preserve">IBU</t>
  </si>
  <si>
    <t xml:space="preserve">Inlandboatmen's Union of the Pacific</t>
  </si>
  <si>
    <t xml:space="preserve">ilwu-pma-training</t>
  </si>
  <si>
    <t xml:space="preserve">bay-area-union-edition; bay-restoration-maritime-underwater; hunters-point-bay-restoration; ports-maritime-ecology; yacht-and-charter-crew</t>
  </si>
  <si>
    <t xml:space="preserve">ifpte</t>
  </si>
  <si>
    <t xml:space="preserve">IFPTE</t>
  </si>
  <si>
    <t xml:space="preserve">International Federation of Professional and Technical Engineers</t>
  </si>
  <si>
    <t xml:space="preserve">ifpte-training</t>
  </si>
  <si>
    <t xml:space="preserve">ifpte-local21</t>
  </si>
  <si>
    <t xml:space="preserve">IFPTE Local 21</t>
  </si>
  <si>
    <t xml:space="preserve">ifpte-local21-training</t>
  </si>
  <si>
    <t xml:space="preserve">ila</t>
  </si>
  <si>
    <t xml:space="preserve">ILA</t>
  </si>
  <si>
    <t xml:space="preserve">International Longshoremen's Association</t>
  </si>
  <si>
    <t xml:space="preserve">ila-training</t>
  </si>
  <si>
    <t xml:space="preserve">ilwu</t>
  </si>
  <si>
    <t xml:space="preserve">ILWU</t>
  </si>
  <si>
    <t xml:space="preserve">International Longshore and Warehouse Union</t>
  </si>
  <si>
    <t xml:space="preserve">bay-area-union-edition; bay-restoration-maritime-underwater; job-readiness-edition; port-operations; ports-maritime-ecology; rigging-lifting</t>
  </si>
  <si>
    <t xml:space="preserve">insulators</t>
  </si>
  <si>
    <t xml:space="preserve">IAHFIAW</t>
  </si>
  <si>
    <t xml:space="preserve">International Association of Heat and Frost Insulators and Allied Workers</t>
  </si>
  <si>
    <t xml:space="preserve">insulators-local-16</t>
  </si>
  <si>
    <t xml:space="preserve">ironworkers</t>
  </si>
  <si>
    <t xml:space="preserve">IW</t>
  </si>
  <si>
    <t xml:space="preserve">International Association of Bridge, Structural, Ornamental and Reinforcing Iron Workers</t>
  </si>
  <si>
    <t xml:space="preserve">ironworkers-impact</t>
  </si>
  <si>
    <t xml:space="preserve">bay-area-union-edition; bridge-and-structural; fall-protection; rigging-lifting; situational-awareness</t>
  </si>
  <si>
    <t xml:space="preserve">ironworkers-local377</t>
  </si>
  <si>
    <t xml:space="preserve">Ironworkers Local 377</t>
  </si>
  <si>
    <t xml:space="preserve">ironworkers-local377-training</t>
  </si>
  <si>
    <t xml:space="preserve">iue-cwa</t>
  </si>
  <si>
    <t xml:space="preserve">IUE-CWA</t>
  </si>
  <si>
    <t xml:space="preserve">IUE-CWA, the Industrial Division of the Communications Workers of America</t>
  </si>
  <si>
    <t xml:space="preserve">iue-cwa-training</t>
  </si>
  <si>
    <t xml:space="preserve">IUEC</t>
  </si>
  <si>
    <t xml:space="preserve">International Union of Elevator Constructors</t>
  </si>
  <si>
    <t xml:space="preserve">iuec-local8</t>
  </si>
  <si>
    <t xml:space="preserve">IUEC Local 8</t>
  </si>
  <si>
    <t xml:space="preserve">International Union of Elevator Constructors Local 8</t>
  </si>
  <si>
    <t xml:space="preserve">iuec-local8-training</t>
  </si>
  <si>
    <t xml:space="preserve">IUOE</t>
  </si>
  <si>
    <t xml:space="preserve">International Union of Operating Engineers</t>
  </si>
  <si>
    <t xml:space="preserve">air-quality-monitoring; bay-area-union-edition; bay-restoration-maritime-underwater; bridge-and-structural; builders-trades; confined-space; heavy-equipment-operators; hunters-point-bay-restoration; hunters-point-can-we-live; property-management; rigging-lifting; stationary-engineer</t>
  </si>
  <si>
    <t xml:space="preserve">iuoe-local3</t>
  </si>
  <si>
    <t xml:space="preserve">IUOE Local 3</t>
  </si>
  <si>
    <t xml:space="preserve">International Union of Operating Engineers Local 3</t>
  </si>
  <si>
    <t xml:space="preserve">iuoe-local3-training</t>
  </si>
  <si>
    <t xml:space="preserve">bay-restoration-maritime-underwater; hunters-point-bay-restoration</t>
  </si>
  <si>
    <t xml:space="preserve">iupat</t>
  </si>
  <si>
    <t xml:space="preserve">IUPAT</t>
  </si>
  <si>
    <t xml:space="preserve">International Union of Painters and Allied Trades</t>
  </si>
  <si>
    <t xml:space="preserve">iupat-fti</t>
  </si>
  <si>
    <t xml:space="preserve">bay-area-union-edition; bridge-and-structural; glaziers-and-architectural-metal</t>
  </si>
  <si>
    <t xml:space="preserve">iupat-dc16</t>
  </si>
  <si>
    <t xml:space="preserve">IUPAT DC 16</t>
  </si>
  <si>
    <t xml:space="preserve">IUPAT District Council 16</t>
  </si>
  <si>
    <t xml:space="preserve">iupat-dc16-glaziers</t>
  </si>
  <si>
    <t xml:space="preserve">liuna</t>
  </si>
  <si>
    <t xml:space="preserve">LIUNA</t>
  </si>
  <si>
    <t xml:space="preserve">Laborers' International Union of North America</t>
  </si>
  <si>
    <t xml:space="preserve">liuna-training-fund</t>
  </si>
  <si>
    <t xml:space="preserve">air-quality-monitoring; bay-restoration-maritime-underwater; bridge-and-structural; builders-trades; commercial-diving-and-scientific-scuba; confined-space; first-responders; grounds-and-landscaping; hazmat-environmental; hunters-point-bay-restoration; hunters-point-can-we-live; marine-ecology-and-restoration; ports-maritime-ecology; situational-awareness</t>
  </si>
  <si>
    <t xml:space="preserve">meba</t>
  </si>
  <si>
    <t xml:space="preserve">MEBA</t>
  </si>
  <si>
    <t xml:space="preserve">Marine Engineers' Beneficial Association</t>
  </si>
  <si>
    <t xml:space="preserve">meba-calhoon-school</t>
  </si>
  <si>
    <t xml:space="preserve">bay-area-union-edition; bay-restoration-maritime-underwater; port-operations; yacht-and-charter-crew</t>
  </si>
  <si>
    <t xml:space="preserve">mfow</t>
  </si>
  <si>
    <t xml:space="preserve">MFOW</t>
  </si>
  <si>
    <t xml:space="preserve">Marine Firemen's Union</t>
  </si>
  <si>
    <t xml:space="preserve">mfow-training</t>
  </si>
  <si>
    <t xml:space="preserve">mmp</t>
  </si>
  <si>
    <t xml:space="preserve">MM&amp;P</t>
  </si>
  <si>
    <t xml:space="preserve">International Organization of Masters, Mates &amp; Pilots</t>
  </si>
  <si>
    <t xml:space="preserve">mmp-training</t>
  </si>
  <si>
    <t xml:space="preserve">nabtu</t>
  </si>
  <si>
    <t xml:space="preserve">NABTU</t>
  </si>
  <si>
    <t xml:space="preserve">North America's Building Trades Unions</t>
  </si>
  <si>
    <t xml:space="preserve">nabtu-training</t>
  </si>
  <si>
    <t xml:space="preserve">naemt</t>
  </si>
  <si>
    <t xml:space="preserve">NAEMT</t>
  </si>
  <si>
    <t xml:space="preserve">National Association of Emergency Medical Technicians</t>
  </si>
  <si>
    <t xml:space="preserve">naemt-courses</t>
  </si>
  <si>
    <t xml:space="preserve">nage</t>
  </si>
  <si>
    <t xml:space="preserve">NAGE</t>
  </si>
  <si>
    <t xml:space="preserve">National Association of Government Employees</t>
  </si>
  <si>
    <t xml:space="preserve">nalc</t>
  </si>
  <si>
    <t xml:space="preserve">NALC</t>
  </si>
  <si>
    <t xml:space="preserve">National Association of Letter Carriers</t>
  </si>
  <si>
    <t xml:space="preserve">nalc-training</t>
  </si>
  <si>
    <t xml:space="preserve">napfe</t>
  </si>
  <si>
    <t xml:space="preserve">NAPFE</t>
  </si>
  <si>
    <t xml:space="preserve">National Alliance of Postal and Federal Employees</t>
  </si>
  <si>
    <t xml:space="preserve">napfe-training</t>
  </si>
  <si>
    <t xml:space="preserve">nasw</t>
  </si>
  <si>
    <t xml:space="preserve">NASW</t>
  </si>
  <si>
    <t xml:space="preserve">National Association of Social Workers</t>
  </si>
  <si>
    <t xml:space="preserve">nasw-code-of-ethics</t>
  </si>
  <si>
    <t xml:space="preserve">natca</t>
  </si>
  <si>
    <t xml:space="preserve">NATCA</t>
  </si>
  <si>
    <t xml:space="preserve">National Air Traffic Controllers Association</t>
  </si>
  <si>
    <t xml:space="preserve">natca-training</t>
  </si>
  <si>
    <t xml:space="preserve">nea</t>
  </si>
  <si>
    <t xml:space="preserve">NEA</t>
  </si>
  <si>
    <t xml:space="preserve">National Education Association</t>
  </si>
  <si>
    <t xml:space="preserve">nea-training</t>
  </si>
  <si>
    <t xml:space="preserve">newsguild-cwa</t>
  </si>
  <si>
    <t xml:space="preserve">TNG-CWA</t>
  </si>
  <si>
    <t xml:space="preserve">The NewsGuild-CWA</t>
  </si>
  <si>
    <t xml:space="preserve">newsguild-cwa-training</t>
  </si>
  <si>
    <t xml:space="preserve">nffe</t>
  </si>
  <si>
    <t xml:space="preserve">NFFE</t>
  </si>
  <si>
    <t xml:space="preserve">National Federation of Federal Employees</t>
  </si>
  <si>
    <t xml:space="preserve">nffe-training</t>
  </si>
  <si>
    <t xml:space="preserve">nnu</t>
  </si>
  <si>
    <t xml:space="preserve">NNU</t>
  </si>
  <si>
    <t xml:space="preserve">National Nurses United</t>
  </si>
  <si>
    <t xml:space="preserve">npmhu</t>
  </si>
  <si>
    <t xml:space="preserve">NPMHU</t>
  </si>
  <si>
    <t xml:space="preserve">National Postal Mail Handlers Union</t>
  </si>
  <si>
    <t xml:space="preserve">npmhu-training</t>
  </si>
  <si>
    <t xml:space="preserve">nrlca</t>
  </si>
  <si>
    <t xml:space="preserve">NRLCA</t>
  </si>
  <si>
    <t xml:space="preserve">National Rural Letter Carriers' Association</t>
  </si>
  <si>
    <t xml:space="preserve">nrlca-training</t>
  </si>
  <si>
    <t xml:space="preserve">nteu</t>
  </si>
  <si>
    <t xml:space="preserve">NTEU</t>
  </si>
  <si>
    <t xml:space="preserve">National Treasury Employees Union</t>
  </si>
  <si>
    <t xml:space="preserve">nteu-training</t>
  </si>
  <si>
    <t xml:space="preserve">nuhw</t>
  </si>
  <si>
    <t xml:space="preserve">NUHW</t>
  </si>
  <si>
    <t xml:space="preserve">National Union of Healthcare Workers</t>
  </si>
  <si>
    <t xml:space="preserve">nuhw-training</t>
  </si>
  <si>
    <t xml:space="preserve">OPCMIA</t>
  </si>
  <si>
    <t xml:space="preserve">Operative Plasterers' and Cement Masons' International Association</t>
  </si>
  <si>
    <t xml:space="preserve">pass-union</t>
  </si>
  <si>
    <t xml:space="preserve">PASS</t>
  </si>
  <si>
    <t xml:space="preserve">Professional Aviation Safety Specialists</t>
  </si>
  <si>
    <t xml:space="preserve">pass-union-training</t>
  </si>
  <si>
    <t xml:space="preserve">rwdsu</t>
  </si>
  <si>
    <t xml:space="preserve">RWDSU</t>
  </si>
  <si>
    <t xml:space="preserve">Retail, Wholesale and Department Store Union</t>
  </si>
  <si>
    <t xml:space="preserve">rwdsu-training</t>
  </si>
  <si>
    <t xml:space="preserve">sag-aftra</t>
  </si>
  <si>
    <t xml:space="preserve">SAG-AFTRA</t>
  </si>
  <si>
    <t xml:space="preserve">Screen Actors Guild-American Federation of Television and Radio Artists</t>
  </si>
  <si>
    <t xml:space="preserve">sag-aftra-training</t>
  </si>
  <si>
    <t xml:space="preserve">seiu</t>
  </si>
  <si>
    <t xml:space="preserve">SEIU</t>
  </si>
  <si>
    <t xml:space="preserve">Service Employees International Union</t>
  </si>
  <si>
    <t xml:space="preserve">seiu-training</t>
  </si>
  <si>
    <t xml:space="preserve">basketball-fundamentals; bay-restoration-maritime-underwater; civic-leadership-and-ei; culinary-kitchen; dental-careers-unspoken-smiles; dental-hygiene-unspoken-smiles; first-responders; grounds-and-landscaping; healthcare-support; job-readiness-edition; marine-ecology-and-restoration; outbreak-response-who; property-management; sewing-garment-trades; wojrc-pathway-edition</t>
  </si>
  <si>
    <t xml:space="preserve">seiu-1021</t>
  </si>
  <si>
    <t xml:space="preserve">SEIU 1021</t>
  </si>
  <si>
    <t xml:space="preserve">seiu-1021-training</t>
  </si>
  <si>
    <t xml:space="preserve">first-responders; marine-ecology-and-restoration</t>
  </si>
  <si>
    <t xml:space="preserve">seiu-uhw</t>
  </si>
  <si>
    <t xml:space="preserve">SEIU-UHW</t>
  </si>
  <si>
    <t xml:space="preserve">SEIU United Healthcare Workers West</t>
  </si>
  <si>
    <t xml:space="preserve">seiu-uhw-training</t>
  </si>
  <si>
    <t xml:space="preserve">seiu-uswtw</t>
  </si>
  <si>
    <t xml:space="preserve">SEIU-USWW</t>
  </si>
  <si>
    <t xml:space="preserve">SEIU United Service Workers West</t>
  </si>
  <si>
    <t xml:space="preserve">seiu-uswtw-training</t>
  </si>
  <si>
    <t xml:space="preserve">siu</t>
  </si>
  <si>
    <t xml:space="preserve">SIU</t>
  </si>
  <si>
    <t xml:space="preserve">Seafarers International Union</t>
  </si>
  <si>
    <t xml:space="preserve">siu-paul-hall-center</t>
  </si>
  <si>
    <t xml:space="preserve">smart</t>
  </si>
  <si>
    <t xml:space="preserve">SMART</t>
  </si>
  <si>
    <t xml:space="preserve">International Association of Sheet Metal, Air, Rail and Transportation Workers</t>
  </si>
  <si>
    <t xml:space="preserve">smart-iti</t>
  </si>
  <si>
    <t xml:space="preserve">bay-area-union-edition; railroad-crafts</t>
  </si>
  <si>
    <t xml:space="preserve">smart-local104</t>
  </si>
  <si>
    <t xml:space="preserve">SMART Local 104</t>
  </si>
  <si>
    <t xml:space="preserve">Sheet Metal Workers Local 104</t>
  </si>
  <si>
    <t xml:space="preserve">smart-local104-training</t>
  </si>
  <si>
    <t xml:space="preserve">smart-td</t>
  </si>
  <si>
    <t xml:space="preserve">SMART-TD</t>
  </si>
  <si>
    <t xml:space="preserve">SMART Transportation Division</t>
  </si>
  <si>
    <t xml:space="preserve">smarttd-training</t>
  </si>
  <si>
    <t xml:space="preserve">spfpa</t>
  </si>
  <si>
    <t xml:space="preserve">SPFPA</t>
  </si>
  <si>
    <t xml:space="preserve">International Union, Security, Police and Fire Professionals of America</t>
  </si>
  <si>
    <t xml:space="preserve">spfpa-training</t>
  </si>
  <si>
    <t xml:space="preserve">sup</t>
  </si>
  <si>
    <t xml:space="preserve">SUP</t>
  </si>
  <si>
    <t xml:space="preserve">Sailors' Union of the Pacific</t>
  </si>
  <si>
    <t xml:space="preserve">sup-training</t>
  </si>
  <si>
    <t xml:space="preserve">tcu</t>
  </si>
  <si>
    <t xml:space="preserve">TCU/IAM</t>
  </si>
  <si>
    <t xml:space="preserve">Transportation Communications Union/IAM</t>
  </si>
  <si>
    <t xml:space="preserve">tcu-training</t>
  </si>
  <si>
    <t xml:space="preserve">IBT</t>
  </si>
  <si>
    <t xml:space="preserve">International Brotherhood of Teamsters</t>
  </si>
  <si>
    <t xml:space="preserve">hunters-point-bay-restoration; hunters-point-can-we-live; job-readiness-edition; port-operations; warehouse-and-logistics-automation; wojrc-pathway-edition</t>
  </si>
  <si>
    <t xml:space="preserve">ttd</t>
  </si>
  <si>
    <t xml:space="preserve">TTD</t>
  </si>
  <si>
    <t xml:space="preserve">Transportation Trades Department, AFL-CIO</t>
  </si>
  <si>
    <t xml:space="preserve">ttd-training</t>
  </si>
  <si>
    <t xml:space="preserve">twu</t>
  </si>
  <si>
    <t xml:space="preserve">TWU</t>
  </si>
  <si>
    <t xml:space="preserve">Transport Workers Union of America</t>
  </si>
  <si>
    <t xml:space="preserve">twu-training</t>
  </si>
  <si>
    <t xml:space="preserve">twu-local250a</t>
  </si>
  <si>
    <t xml:space="preserve">TWU Local 250-A</t>
  </si>
  <si>
    <t xml:space="preserve">Transport Workers Union Local 250-A</t>
  </si>
  <si>
    <t xml:space="preserve">twu-local250a-training</t>
  </si>
  <si>
    <t xml:space="preserve">UA</t>
  </si>
  <si>
    <t xml:space="preserve">United Association of Journeymen and Apprentices of the Plumbing and Pipe Fitting Industry of the United States and Canada</t>
  </si>
  <si>
    <t xml:space="preserve">confined-space; hunters-point-bay-restoration; plumbers-and-pipefitters; situational-awareness</t>
  </si>
  <si>
    <t xml:space="preserve">ua-local483</t>
  </si>
  <si>
    <t xml:space="preserve">UA Local 483</t>
  </si>
  <si>
    <t xml:space="preserve">UA Road Sprinkler Fitters Local 483</t>
  </si>
  <si>
    <t xml:space="preserve">ua-local483-training</t>
  </si>
  <si>
    <t xml:space="preserve">uaw</t>
  </si>
  <si>
    <t xml:space="preserve">UAW</t>
  </si>
  <si>
    <t xml:space="preserve">International Union, United Automobile, Aerospace and Agricultural Implement Workers of America</t>
  </si>
  <si>
    <t xml:space="preserve">uaw-training</t>
  </si>
  <si>
    <t xml:space="preserve">UFCW</t>
  </si>
  <si>
    <t xml:space="preserve">United Food and Commercial Workers International Union</t>
  </si>
  <si>
    <t xml:space="preserve">dental-careers-unspoken-smiles; dental-hygiene-unspoken-smiles; grocery-and-meatpacking</t>
  </si>
  <si>
    <t xml:space="preserve">ulstd</t>
  </si>
  <si>
    <t xml:space="preserve">ULSTD</t>
  </si>
  <si>
    <t xml:space="preserve">Union Label and Service Trades Department, AFL-CIO</t>
  </si>
  <si>
    <t xml:space="preserve">ulstd-training</t>
  </si>
  <si>
    <t xml:space="preserve">umwa</t>
  </si>
  <si>
    <t xml:space="preserve">UMWA</t>
  </si>
  <si>
    <t xml:space="preserve">United Mine Workers of America</t>
  </si>
  <si>
    <t xml:space="preserve">umwa-training</t>
  </si>
  <si>
    <t xml:space="preserve">unac-uhcp</t>
  </si>
  <si>
    <t xml:space="preserve">UNAC/UHCP</t>
  </si>
  <si>
    <t xml:space="preserve">United Nurses Associations of California/Union of Health Care Professionals</t>
  </si>
  <si>
    <t xml:space="preserve">unac-uhcp-training</t>
  </si>
  <si>
    <t xml:space="preserve">UNITE HERE</t>
  </si>
  <si>
    <t xml:space="preserve">bartending-course; culinary-kitchen; hotel-workers; property-management; sewing-garment-trades</t>
  </si>
  <si>
    <t xml:space="preserve">unite-here-local2850</t>
  </si>
  <si>
    <t xml:space="preserve">UNITE HERE Local 2850</t>
  </si>
  <si>
    <t xml:space="preserve">unite-here-local2850-training</t>
  </si>
  <si>
    <t xml:space="preserve">upte-cwa</t>
  </si>
  <si>
    <t xml:space="preserve">UPTE-CWA</t>
  </si>
  <si>
    <t xml:space="preserve">University Professional and Technical Employees, CWA Local 9119</t>
  </si>
  <si>
    <t xml:space="preserve">upte-cwa-training</t>
  </si>
  <si>
    <t xml:space="preserve">URW</t>
  </si>
  <si>
    <t xml:space="preserve">United Union of Roofers, Waterproofers and Allied Workers</t>
  </si>
  <si>
    <t xml:space="preserve">usw</t>
  </si>
  <si>
    <t xml:space="preserve">USW</t>
  </si>
  <si>
    <t xml:space="preserve">United Steelworkers</t>
  </si>
  <si>
    <t xml:space="preserve">usw-mazzocchi-center</t>
  </si>
  <si>
    <t xml:space="preserve">air-quality-monitoring; mill-and-mine</t>
  </si>
  <si>
    <t xml:space="preserve">usw-local5</t>
  </si>
  <si>
    <t xml:space="preserve">USW Local 5</t>
  </si>
  <si>
    <t xml:space="preserve">United Steelworkers Local 5</t>
  </si>
  <si>
    <t xml:space="preserve">usw-local5-training</t>
  </si>
  <si>
    <t xml:space="preserve">uwua</t>
  </si>
  <si>
    <t xml:space="preserve">UWUA</t>
  </si>
  <si>
    <t xml:space="preserve">Utility Workers Union of America</t>
  </si>
  <si>
    <t xml:space="preserve">uwua-training</t>
  </si>
  <si>
    <t xml:space="preserve">wga-east</t>
  </si>
  <si>
    <t xml:space="preserve">WGAE</t>
  </si>
  <si>
    <t xml:space="preserve">Writers Guild of America, East</t>
  </si>
  <si>
    <t xml:space="preserve">wga-east-training</t>
  </si>
  <si>
    <t xml:space="preserve">wga-west</t>
  </si>
  <si>
    <t xml:space="preserve">WGAW</t>
  </si>
  <si>
    <t xml:space="preserve">Writers Guild of America West</t>
  </si>
  <si>
    <t xml:space="preserve">wga-west-training</t>
  </si>
  <si>
    <t xml:space="preserve">workers-united</t>
  </si>
  <si>
    <t xml:space="preserve">WORKERS UNITED</t>
  </si>
  <si>
    <t xml:space="preserve">Workers United</t>
  </si>
  <si>
    <t xml:space="preserve">key</t>
  </si>
  <si>
    <t xml:space="preserve">value</t>
  </si>
  <si>
    <t xml:space="preserve">procedures</t>
  </si>
  <si>
    <t xml:space="preserve">WebXR/smartcity/catalog.json stations.length</t>
  </si>
  <si>
    <t xml:space="preserve">smartcityStations</t>
  </si>
  <si>
    <t xml:space="preserve">WebXR/smartcity/catalog.json stations where app = smartcity</t>
  </si>
  <si>
    <t xml:space="preserve">tradeSkillsRooms</t>
  </si>
  <si>
    <t xml:space="preserve">WebXR/smartcity/catalog.json stations where app = trades</t>
  </si>
  <si>
    <t xml:space="preserve">WebXR/smartcity/js/curricula.js CURRICULA.length</t>
  </si>
  <si>
    <t xml:space="preserve">categories</t>
  </si>
  <si>
    <t xml:space="preserve">WebXR/smartcity/catalog.json categories.length</t>
  </si>
  <si>
    <t xml:space="preserve">tools/unions.json unions.length</t>
  </si>
  <si>
    <t xml:space="preserve">tools/standards.json standards where body = union</t>
  </si>
  <si>
    <t xml:space="preserve">standards</t>
  </si>
  <si>
    <t xml:space="preserve">tools/standards.json standards.length</t>
  </si>
  <si>
    <t xml:space="preserve">competencies</t>
  </si>
  <si>
    <t xml:space="preserve">WebXR/shared/competency.js COMPETENCIES.length</t>
  </si>
  <si>
    <t xml:space="preserve">programmeCompetencies</t>
  </si>
  <si>
    <t xml:space="preserve">WebXR/shared/competency.js PROGRAMME_COMPETENCIES.length</t>
  </si>
  <si>
    <t xml:space="preserve">coreCompetencies</t>
  </si>
  <si>
    <t xml:space="preserve">WebXR/shared/competency.js CORE_COMPETENCIES.length</t>
  </si>
  <si>
    <t xml:space="preserve">profileLevels</t>
  </si>
  <si>
    <t xml:space="preserve">WebXR/smartcity/catalog.json profile.levels</t>
  </si>
  <si>
    <t xml:space="preserve">programmeLadderLevels</t>
  </si>
  <si>
    <t xml:space="preserve">WebXR/smartcity/catalog.json sum of curricula[].ladder.levels</t>
  </si>
  <si>
    <t xml:space="preserve">programmeLadderLevelsFull</t>
  </si>
  <si>
    <t xml:space="preserve">WebXR/smartcity/catalog.json sum of curricula[].ladder.atBar</t>
  </si>
  <si>
    <t xml:space="preserve">checkers</t>
  </si>
  <si>
    <t xml:space="preserve">tools/check_all.mjs CHECKERS array</t>
  </si>
  <si>
    <t xml:space="preserve">evalProceduresScored</t>
  </si>
  <si>
    <t xml:space="preserve">tools/eval-content.json results.length</t>
  </si>
  <si>
    <t xml:space="preserve">evalCorpusMean</t>
  </si>
  <si>
    <t xml:space="preserve">tools/eval-content.json mean of results[].score</t>
  </si>
  <si>
    <t xml:space="preserve">evalBand95plus</t>
  </si>
  <si>
    <t xml:space="preserve">tools/eval-content.json results with score &gt;= 95</t>
  </si>
  <si>
    <t xml:space="preserve">evalBand90to94</t>
  </si>
  <si>
    <t xml:space="preserve">tools/eval-content.json results with score 90-94</t>
  </si>
  <si>
    <t xml:space="preserve">evalBandBelow90</t>
  </si>
  <si>
    <t xml:space="preserve">tools/eval-content.json results with score &lt; 90</t>
  </si>
  <si>
    <t xml:space="preserve">bayWorldZones</t>
  </si>
  <si>
    <t xml:space="preserve">WebXR/shared/bayworld-data.js BAY_ZONES.length</t>
  </si>
  <si>
    <t xml:space="preserve">WebXR/shared/bayworld-data.js BAY_SITES.length</t>
  </si>
  <si>
    <t xml:space="preserve">bayWorldLandmarks</t>
  </si>
  <si>
    <t xml:space="preserve">WebXR/shared/bayworld-data.js BAY_LANDMARKS.length</t>
  </si>
  <si>
    <t xml:space="preserve">bayWorldRoads</t>
  </si>
  <si>
    <t xml:space="preserve">WebXR/shared/bayworld-data.js BAY_ROADS.length</t>
  </si>
  <si>
    <t xml:space="preserve">bayWorldMainQuests</t>
  </si>
  <si>
    <t xml:space="preserve">WebXR/bayworld/js/quests-data.js MAIN_QUESTS.length</t>
  </si>
  <si>
    <t xml:space="preserve">bayWorldSideQuests</t>
  </si>
  <si>
    <t xml:space="preserve">WebXR/bayworld/js/quests-data.js SIDE_QUESTS.length</t>
  </si>
  <si>
    <t xml:space="preserve">bayWorldEggQuests</t>
  </si>
  <si>
    <t xml:space="preserve">WebXR/bayworld/js/quests-data.js EGG_QUESTS.length</t>
  </si>
  <si>
    <t xml:space="preserve">bayWorldFieldGuideEggs</t>
  </si>
  <si>
    <t xml:space="preserve">WebXR/bayworld/js/quests-data.js FIELD_GUIDE_EGGS.length</t>
  </si>
  <si>
    <t xml:space="preserve">bayWorldActivities</t>
  </si>
  <si>
    <t xml:space="preserve">WebXR/bayworld/js/quests-data.js SIDE_ACTIVITIES.length</t>
  </si>
  <si>
    <t xml:space="preserve">deepZones</t>
  </si>
  <si>
    <t xml:space="preserve">WebXR/shared/underwater-data.js DEEP_ZONES.length</t>
  </si>
  <si>
    <t xml:space="preserve">WebXR/shared/underwater-data.js DEEP_SITES.length</t>
  </si>
  <si>
    <t xml:space="preserve">deepLandmarks</t>
  </si>
  <si>
    <t xml:space="preserve">WebXR/shared/underwater-data.js DEEP_LANDMARKS.length</t>
  </si>
  <si>
    <t xml:space="preserve">deepLines</t>
  </si>
  <si>
    <t xml:space="preserve">WebXR/shared/underwater-data.js DEEP_LINES.length</t>
  </si>
  <si>
    <t xml:space="preserve">deepMainDives</t>
  </si>
  <si>
    <t xml:space="preserve">WebXR/underwater/js/dives-data.js DV_MAIN_DIVES.length</t>
  </si>
  <si>
    <t xml:space="preserve">deepSideDives</t>
  </si>
  <si>
    <t xml:space="preserve">WebXR/underwater/js/dives-data.js DV_SIDE_DIVES.length</t>
  </si>
  <si>
    <t xml:space="preserve">deepEggDives</t>
  </si>
  <si>
    <t xml:space="preserve">WebXR/underwater/js/dives-data.js DV_EGG_DIVES.length</t>
  </si>
  <si>
    <t xml:space="preserve">deepActivities</t>
  </si>
  <si>
    <t xml:space="preserve">WebXR/underwater/js/dives-data.js DV_ACTIVITIES.length</t>
  </si>
  <si>
    <t xml:space="preserve">fairwayHoles</t>
  </si>
  <si>
    <t xml:space="preserve">WebXR/shared/fairway-data.js FAIRWAY_HOLES.length</t>
  </si>
  <si>
    <t xml:space="preserve">regattaYachts</t>
  </si>
  <si>
    <t xml:space="preserve">WebXR/shared/yacht-fleet.js YACHT_FLEET.length</t>
  </si>
  <si>
    <t xml:space="preserve">regattaCourses</t>
  </si>
  <si>
    <t xml:space="preserve">WebXR/regatta/js/courses.js RG_COURSES.length</t>
  </si>
  <si>
    <t xml:space="preserve">regattaEvents</t>
  </si>
  <si>
    <t xml:space="preserve">WebXR/regatta/js/events.js RG_EVENTS.length</t>
  </si>
  <si>
    <t xml:space="preserve">scenicDistricts</t>
  </si>
  <si>
    <t xml:space="preserve">WebXR/smartcity/js/districts.js DISTRICTS entries with plaza: false</t>
  </si>
  <si>
    <t xml:space="preserve">assetBuilders</t>
  </si>
  <si>
    <t xml:space="preserve">tools/gen_investor.mjs: entries of EQUIPMENT_BUDGET, FLEET_BUDGET, PROPS_BUDGET, TOOLKIT_BUDGET, WILDLIFE_BUDGET (kinds), SKY_BUDGET (one dome)</t>
  </si>
  <si>
    <t xml:space="preserve">unityModels</t>
  </si>
  <si>
    <t xml:space="preserve">exports/unity/SmartCitiX/Models/MANIFEST.json entries.length</t>
  </si>
  <si>
    <t xml:space="preserve">unityModels.equipment</t>
  </si>
  <si>
    <t xml:space="preserve">exports/unity/SmartCitiX/Models/MANIFEST.json entries where kit = equipment</t>
  </si>
  <si>
    <t xml:space="preserve">unityModels.fleet</t>
  </si>
  <si>
    <t xml:space="preserve">exports/unity/SmartCitiX/Models/MANIFEST.json entries where kit = fleet</t>
  </si>
  <si>
    <t xml:space="preserve">unityModels.toolkit</t>
  </si>
  <si>
    <t xml:space="preserve">exports/unity/SmartCitiX/Models/MANIFEST.json entries where kit = toolkit</t>
  </si>
  <si>
    <t xml:space="preserve">unityExportBytes</t>
  </si>
  <si>
    <t xml:space="preserve">exports/unity/SmartCitiX/Models/MANIFEST.json bytes</t>
  </si>
  <si>
    <t xml:space="preserve">uiPages</t>
  </si>
  <si>
    <t xml:space="preserve">ls WebXR/dist/*.html WebXR/dist/tracks/*.html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</si>
</sst>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@"/>
    <numFmt numFmtId="169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32C"/>
      <name val="Arial"/>
      <family val="0"/>
      <charset val="1"/>
    </font>
    <font>
      <i val="true"/>
      <sz val="10"/>
      <color rgb="FF5D6F76"/>
      <name val="Arial"/>
      <family val="0"/>
      <charset val="1"/>
    </font>
    <font>
      <b val="true"/>
      <sz val="10"/>
      <color rgb="FFEEF3F1"/>
      <name val="Arial"/>
      <family val="0"/>
      <charset val="1"/>
    </font>
    <font>
      <b val="true"/>
      <sz val="11"/>
      <color rgb="FF12746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232C"/>
        <bgColor rgb="FF00330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23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EF3F1"/>
          <bgColor rgb="FF000000"/>
        </patternFill>
      </fill>
    </dxf>
    <dxf>
      <fill>
        <patternFill patternType="solid">
          <fgColor rgb="FF5D6F76"/>
          <bgColor rgb="FF000000"/>
        </patternFill>
      </fill>
    </dxf>
  </dxfs>
  <colors>
    <indexedColors>
      <rgbColor rgb="FF000000"/>
      <rgbColor rgb="FFEEF3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46A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6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F7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3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Assets" displayName="t_Assets" ref="A1:K132" headerRowCount="1" totalsRowCount="0" totalsRowShown="0">
  <autoFilter ref="A1:K132"/>
  <tableColumns count="11">
    <tableColumn id="1" name="name"/>
    <tableColumn id="2" name="family"/>
    <tableColumn id="3" name="build"/>
    <tableColumn id="4" name="meshes"/>
    <tableColumn id="5" name="footprint"/>
    <tableColumn id="6" name="parts"/>
    <tableColumn id="7" name="note"/>
    <tableColumn id="8" name="stationCount"/>
    <tableColumn id="9" name="stations"/>
    <tableColumn id="10" name="unity"/>
    <tableColumn id="11" name="source"/>
  </tableColumns>
</table>
</file>

<file path=xl/tables/table2.xml><?xml version="1.0" encoding="utf-8"?>
<table xmlns="http://schemas.openxmlformats.org/spreadsheetml/2006/main" id="2" name="t_PlatformFacts" displayName="t_PlatformFacts" ref="A1:C50" headerRowCount="1" totalsRowCount="0" totalsRowShown="0">
  <autoFilter ref="A1:C50"/>
  <tableColumns count="3">
    <tableColumn id="1" name="key"/>
    <tableColumn id="2" name="value"/>
    <tableColumn id="3" name="source"/>
  </tableColumns>
</table>
</file>

<file path=xl/tables/table3.xml><?xml version="1.0" encoding="utf-8"?>
<table xmlns="http://schemas.openxmlformats.org/spreadsheetml/2006/main" id="3" name="t_Programmes" displayName="t_Programmes" ref="A1:M55" headerRowCount="1" totalsRowCount="0" totalsRowShown="0">
  <autoFilter ref="A1:M55"/>
  <tableColumns count="13">
    <tableColumn id="1" name="id"/>
    <tableColumn id="2" name="name"/>
    <tableColumn id="3" name="categoryMix"/>
    <tableColumn id="4" name="stationCount"/>
    <tableColumn id="5" name="unions"/>
    <tableColumn id="6" name="trainingBodies"/>
    <tableColumn id="7" name="competencyRequire"/>
    <tableColumn id="8" name="ladderLevels"/>
    <tableColumn id="9" name="ladderLevelsFull"/>
    <tableColumn id="10" name="bayWorldSites"/>
    <tableColumn id="11" name="deepSites"/>
    <tableColumn id="12" name="evalMean"/>
    <tableColumn id="13" name="rankKey"/>
  </tableColumns>
</table>
</file>

<file path=xl/tables/table4.xml><?xml version="1.0" encoding="utf-8"?>
<table xmlns="http://schemas.openxmlformats.org/spreadsheetml/2006/main" id="4" name="t_Stations" displayName="t_Stations" ref="A1:M634" headerRowCount="1" totalsRowCount="0" totalsRowShown="0">
  <autoFilter ref="A1:M634"/>
  <tableColumns count="13">
    <tableColumn id="1" name="id"/>
    <tableColumn id="2" name="app"/>
    <tableColumn id="3" name="title"/>
    <tableColumn id="4" name="category"/>
    <tableColumn id="5" name="programmes"/>
    <tableColumn id="6" name="steps"/>
    <tableColumn id="7" name="kinds"/>
    <tableColumn id="8" name="hazards"/>
    <tableColumn id="9" name="interruptions"/>
    <tableColumn id="10" name="citations"/>
    <tableColumn id="11" name="evalScore"/>
    <tableColumn id="12" name="standardsScore"/>
    <tableColumn id="13" name="meshes"/>
  </tableColumns>
</table>
</file>

<file path=xl/tables/table5.xml><?xml version="1.0" encoding="utf-8"?>
<table xmlns="http://schemas.openxmlformats.org/spreadsheetml/2006/main" id="5" name="t_UISurfaces" displayName="t_UISurfaces" ref="A1:G67" headerRowCount="1" totalsRowCount="0" totalsRowShown="0">
  <autoFilter ref="A1:G67"/>
  <tableColumns count="7">
    <tableColumn id="1" name="name"/>
    <tableColumn id="2" name="path"/>
    <tableColumn id="3" name="purpose"/>
    <tableColumn id="4" name="inputModes"/>
    <tableColumn id="5" name="hudPanelCount"/>
    <tableColumn id="6" name="hudPanels"/>
    <tableColumn id="7" name="source"/>
  </tableColumns>
</table>
</file>

<file path=xl/tables/table6.xml><?xml version="1.0" encoding="utf-8"?>
<table xmlns="http://schemas.openxmlformats.org/spreadsheetml/2006/main" id="6" name="t_Unions" displayName="t_Unions" ref="A1:E112" headerRowCount="1" totalsRowCount="0" totalsRowShown="0">
  <autoFilter ref="A1:E112"/>
  <tableColumns count="5">
    <tableColumn id="1" name="id"/>
    <tableColumn id="2" name="abbrev"/>
    <tableColumn id="3" name="name"/>
    <tableColumn id="4" name="trainingBody"/>
    <tableColumn id="5" name="programmes"/>
  </tableColumns>
</table>
</file>

<file path=xl/tables/table7.xml><?xml version="1.0" encoding="utf-8"?>
<table xmlns="http://schemas.openxmlformats.org/spreadsheetml/2006/main" id="7" name="t_VehiclesandBoats" displayName="t_VehiclesandBoats" ref="A1:I33" headerRowCount="1" totalsRowCount="0" totalsRowShown="0">
  <autoFilter ref="A1:I33"/>
  <tableColumns count="9">
    <tableColumn id="1" name="name"/>
    <tableColumn id="2" name="family"/>
    <tableColumn id="3" name="build"/>
    <tableColumn id="4" name="meshes"/>
    <tableColumn id="5" name="footprint"/>
    <tableColumn id="6" name="description"/>
    <tableColumn id="7" name="stationCount"/>
    <tableColumn id="8" name="unity"/>
    <tableColumn id="9" name="source"/>
  </tableColumns>
</table>
</file>

<file path=xl/tables/table8.xml><?xml version="1.0" encoding="utf-8"?>
<table xmlns="http://schemas.openxmlformats.org/spreadsheetml/2006/main" id="8" name="t_Worlds" displayName="t_Worlds" ref="A1:L12" headerRowCount="1" totalsRowCount="0" totalsRowShown="0">
  <autoFilter ref="A1:L12"/>
  <tableColumns count="12">
    <tableColumn id="1" name="name"/>
    <tableColumn id="2" name="page"/>
    <tableColumn id="3" name="bounds"/>
    <tableColumn id="4" name="zones"/>
    <tableColumn id="5" name="sites"/>
    <tableColumn id="6" name="landmarks"/>
    <tableColumn id="7" name="routes"/>
    <tableColumn id="8" name="meshBudget"/>
    <tableColumn id="9" name="quests"/>
    <tableColumn id="10" name="eggs"/>
    <tableColumn id="11" name="activities"/>
    <tableColumn id="12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9.7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COUNTA(Stations!$A$2:$A$634)</f>
        <v>633</v>
      </c>
      <c r="C5" s="7" t="s">
        <v>7</v>
      </c>
    </row>
    <row r="6" customFormat="false" ht="15" hidden="false" customHeight="false" outlineLevel="0" collapsed="false">
      <c r="A6" s="5" t="s">
        <v>8</v>
      </c>
      <c r="B6" s="6" t="n">
        <f aca="false">COUNTA(Programmes!$A$2:$A$55)</f>
        <v>54</v>
      </c>
      <c r="C6" s="7" t="s">
        <v>9</v>
      </c>
    </row>
    <row r="7" customFormat="false" ht="15" hidden="false" customHeight="false" outlineLevel="0" collapsed="false">
      <c r="A7" s="5" t="s">
        <v>10</v>
      </c>
      <c r="B7" s="6" t="n">
        <f aca="false">SUM(Programmes!$D$2:$D$55)</f>
        <v>683</v>
      </c>
      <c r="C7" s="7" t="s">
        <v>11</v>
      </c>
    </row>
    <row r="8" customFormat="false" ht="15" hidden="false" customHeight="false" outlineLevel="0" collapsed="false">
      <c r="A8" s="5" t="s">
        <v>12</v>
      </c>
      <c r="B8" s="8" t="n">
        <f aca="false">ROUND(AVERAGE(Stations!$K$2:$K$634),1)</f>
        <v>95.8</v>
      </c>
      <c r="C8" s="7" t="s">
        <v>13</v>
      </c>
    </row>
    <row r="9" customFormat="false" ht="15" hidden="false" customHeight="false" outlineLevel="0" collapsed="false">
      <c r="A9" s="5" t="s">
        <v>14</v>
      </c>
      <c r="B9" s="6" t="n">
        <f aca="false">COUNTIF(Stations!$K$2:$K$634,"&gt;=95")</f>
        <v>513</v>
      </c>
      <c r="C9" s="7"/>
    </row>
    <row r="10" customFormat="false" ht="15" hidden="false" customHeight="false" outlineLevel="0" collapsed="false">
      <c r="A10" s="5" t="s">
        <v>15</v>
      </c>
      <c r="B10" s="6" t="n">
        <f aca="false">COUNTIFS(Stations!$K$2:$K$634,"&gt;=90",Stations!$K$2:$K$634,"&lt;95")</f>
        <v>115</v>
      </c>
      <c r="C10" s="7"/>
    </row>
    <row r="11" customFormat="false" ht="15" hidden="false" customHeight="false" outlineLevel="0" collapsed="false">
      <c r="A11" s="5" t="s">
        <v>16</v>
      </c>
      <c r="B11" s="6" t="n">
        <f aca="false">COUNTIF(Stations!$K$2:$K$634,"&lt;90")</f>
        <v>5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9" t="n">
        <f aca="false">IFERROR(COUNTIF(Stations!$K$2:$K$634,"&gt;=90")/COUNTA(Stations!$A$2:$A$634),0)</f>
        <v>0.992101105845182</v>
      </c>
      <c r="C12" s="7"/>
    </row>
    <row r="13" customFormat="false" ht="15" hidden="false" customHeight="false" outlineLevel="0" collapsed="false">
      <c r="A13" s="5" t="s">
        <v>19</v>
      </c>
      <c r="B13" s="6" t="n">
        <f aca="false">SUM(Stations!$F$2:$F$634)</f>
        <v>8473</v>
      </c>
      <c r="C13" s="7"/>
    </row>
    <row r="14" customFormat="false" ht="15" hidden="false" customHeight="false" outlineLevel="0" collapsed="false">
      <c r="A14" s="5" t="s">
        <v>20</v>
      </c>
      <c r="B14" s="6" t="n">
        <f aca="false">SUM(Stations!$H$2:$H$634)</f>
        <v>2550</v>
      </c>
      <c r="C14" s="7"/>
    </row>
    <row r="15" customFormat="false" ht="15" hidden="false" customHeight="false" outlineLevel="0" collapsed="false">
      <c r="A15" s="5" t="s">
        <v>21</v>
      </c>
      <c r="B15" s="6" t="n">
        <f aca="false">COUNTA(Unions!$A$2:$A$112)</f>
        <v>111</v>
      </c>
      <c r="C15" s="7" t="s">
        <v>22</v>
      </c>
    </row>
    <row r="16" customFormat="false" ht="15" hidden="false" customHeight="false" outlineLevel="0" collapsed="false">
      <c r="A16" s="5" t="s">
        <v>23</v>
      </c>
      <c r="B16" s="6" t="n">
        <f aca="false">IFERROR(INDEX('Platform Facts'!$B$2:$B$50,MATCH("checkers",'Platform Facts'!$A$2:$A$50,0)),"-")</f>
        <v>61</v>
      </c>
      <c r="C16" s="7" t="s">
        <v>24</v>
      </c>
    </row>
    <row r="17" customFormat="false" ht="15" hidden="false" customHeight="false" outlineLevel="0" collapsed="false">
      <c r="A17" s="4" t="s">
        <v>25</v>
      </c>
    </row>
    <row r="18" customFormat="false" ht="15" hidden="false" customHeight="false" outlineLevel="0" collapsed="false">
      <c r="A18" s="5" t="s">
        <v>26</v>
      </c>
      <c r="B18" s="6" t="n">
        <f aca="false">COUNTA(Worlds!$A$2:$A$12)</f>
        <v>11</v>
      </c>
      <c r="C18" s="7" t="s">
        <v>27</v>
      </c>
    </row>
    <row r="19" customFormat="false" ht="15" hidden="false" customHeight="false" outlineLevel="0" collapsed="false">
      <c r="A19" s="5" t="s">
        <v>28</v>
      </c>
      <c r="B19" s="6" t="n">
        <f aca="false">SUM(Worlds!$E$2:$E$12)</f>
        <v>82</v>
      </c>
      <c r="C19" s="7"/>
    </row>
    <row r="20" customFormat="false" ht="15" hidden="false" customHeight="false" outlineLevel="0" collapsed="false">
      <c r="A20" s="5" t="s">
        <v>29</v>
      </c>
      <c r="B20" s="6" t="n">
        <f aca="false">SUM(Worlds!$I$2:$I$12)</f>
        <v>153</v>
      </c>
      <c r="C20" s="7"/>
    </row>
    <row r="21" customFormat="false" ht="15" hidden="false" customHeight="false" outlineLevel="0" collapsed="false">
      <c r="A21" s="5" t="s">
        <v>30</v>
      </c>
      <c r="B21" s="6" t="n">
        <f aca="false">SUM(Worlds!$J$2:$J$12)</f>
        <v>58</v>
      </c>
      <c r="C21" s="7"/>
    </row>
    <row r="22" customFormat="false" ht="15" hidden="false" customHeight="false" outlineLevel="0" collapsed="false">
      <c r="A22" s="5" t="s">
        <v>31</v>
      </c>
      <c r="B22" s="6" t="n">
        <f aca="false">SUM(Worlds!$K$2:$K$12)</f>
        <v>15</v>
      </c>
      <c r="C22" s="7"/>
    </row>
    <row r="23" customFormat="false" ht="15" hidden="false" customHeight="false" outlineLevel="0" collapsed="false">
      <c r="A23" s="5" t="s">
        <v>32</v>
      </c>
      <c r="B23" s="6" t="n">
        <f aca="false">COUNTA(Assets!$A$2:$A$132)</f>
        <v>131</v>
      </c>
      <c r="C23" s="7" t="s">
        <v>33</v>
      </c>
    </row>
    <row r="24" customFormat="false" ht="15" hidden="false" customHeight="false" outlineLevel="0" collapsed="false">
      <c r="A24" s="5" t="s">
        <v>34</v>
      </c>
      <c r="B24" s="6" t="n">
        <f aca="false">COUNTIF('Vehicles and Boats'!$B$2:$B$33,"vehicle")</f>
        <v>20</v>
      </c>
      <c r="C24" s="7" t="s">
        <v>35</v>
      </c>
    </row>
    <row r="25" customFormat="false" ht="15" hidden="false" customHeight="false" outlineLevel="0" collapsed="false">
      <c r="A25" s="5" t="s">
        <v>36</v>
      </c>
      <c r="B25" s="6" t="n">
        <f aca="false">COUNTIF('Vehicles and Boats'!$B$2:$B$33,"boat")</f>
        <v>12</v>
      </c>
      <c r="C25" s="7"/>
    </row>
    <row r="26" customFormat="false" ht="15" hidden="false" customHeight="false" outlineLevel="0" collapsed="false">
      <c r="A26" s="5" t="s">
        <v>37</v>
      </c>
      <c r="B26" s="6" t="n">
        <f aca="false">COUNTIF(Assets!$J$2:$J$132,"yes")</f>
        <v>90</v>
      </c>
      <c r="C26" s="7" t="s">
        <v>38</v>
      </c>
    </row>
    <row r="27" customFormat="false" ht="15" hidden="false" customHeight="false" outlineLevel="0" collapsed="false">
      <c r="A27" s="4" t="s">
        <v>39</v>
      </c>
    </row>
    <row r="28" customFormat="false" ht="15" hidden="false" customHeight="false" outlineLevel="0" collapsed="false">
      <c r="A28" s="5" t="s">
        <v>40</v>
      </c>
      <c r="B28" s="6" t="n">
        <f aca="false">COUNTA('UI Surfaces'!$A$2:$A$67)</f>
        <v>66</v>
      </c>
      <c r="C28" s="7" t="s">
        <v>41</v>
      </c>
    </row>
    <row r="30" customFormat="false" ht="15" hidden="false" customHeight="false" outlineLevel="0" collapsed="false">
      <c r="A30" s="4" t="s">
        <v>42</v>
      </c>
    </row>
    <row r="31" customFormat="false" ht="15" hidden="false" customHeight="false" outlineLevel="0" collapsed="false">
      <c r="A31" s="3" t="s">
        <v>43</v>
      </c>
      <c r="B31" s="3" t="s">
        <v>44</v>
      </c>
      <c r="C31" s="3" t="s">
        <v>45</v>
      </c>
    </row>
    <row r="32" customFormat="false" ht="15" hidden="false" customHeight="false" outlineLevel="0" collapsed="false">
      <c r="A32" s="10" t="str">
        <f aca="false">INDEX(Programmes!$B$2:$B$55,MATCH(LARGE(Programmes!$M$2:$M$55,1),Programmes!$M$2:$M$55,0))</f>
        <v>Bay Area Union Edition — Sheet Metal, Bridge, Port and Marine</v>
      </c>
      <c r="B32" s="10" t="n">
        <f aca="false">INDEX(Programmes!$D$2:$D$55,MATCH(LARGE(Programmes!$M$2:$M$55,1),Programmes!$M$2:$M$55,0))</f>
        <v>42</v>
      </c>
      <c r="C32" s="11" t="n">
        <f aca="false">INDEX(Programmes!$L$2:$L$55,MATCH(LARGE(Programmes!$M$2:$M$55,1),Programmes!$M$2:$M$55,0))</f>
        <v>96.5</v>
      </c>
    </row>
    <row r="33" customFormat="false" ht="15" hidden="false" customHeight="false" outlineLevel="0" collapsed="false">
      <c r="A33" s="10" t="str">
        <f aca="false">INDEX(Programmes!$B$2:$B$55,MATCH(LARGE(Programmes!$M$2:$M$55,2),Programmes!$M$2:$M$55,0))</f>
        <v>Pathway Edition — wojrc.org</v>
      </c>
      <c r="B33" s="10" t="n">
        <f aca="false">INDEX(Programmes!$D$2:$D$55,MATCH(LARGE(Programmes!$M$2:$M$55,2),Programmes!$M$2:$M$55,0))</f>
        <v>40</v>
      </c>
      <c r="C33" s="11" t="n">
        <f aca="false">INDEX(Programmes!$L$2:$L$55,MATCH(LARGE(Programmes!$M$2:$M$55,2),Programmes!$M$2:$M$55,0))</f>
        <v>95.7</v>
      </c>
    </row>
    <row r="34" customFormat="false" ht="15" hidden="false" customHeight="false" outlineLevel="0" collapsed="false">
      <c r="A34" s="10" t="str">
        <f aca="false">INDEX(Programmes!$B$2:$B$55,MATCH(LARGE(Programmes!$M$2:$M$55,3),Programmes!$M$2:$M$55,0))</f>
        <v>SF Bay Restoration &amp; Cleanup — Maritime and Underwater</v>
      </c>
      <c r="B34" s="10" t="n">
        <f aca="false">INDEX(Programmes!$D$2:$D$55,MATCH(LARGE(Programmes!$M$2:$M$55,3),Programmes!$M$2:$M$55,0))</f>
        <v>35</v>
      </c>
      <c r="C34" s="11" t="n">
        <f aca="false">INDEX(Programmes!$L$2:$L$55,MATCH(LARGE(Programmes!$M$2:$M$55,3),Programmes!$M$2:$M$55,0))</f>
        <v>96.3</v>
      </c>
    </row>
    <row r="35" customFormat="false" ht="15" hidden="false" customHeight="false" outlineLevel="0" collapsed="false">
      <c r="A35" s="10" t="str">
        <f aca="false">INDEX(Programmes!$B$2:$B$55,MATCH(LARGE(Programmes!$M$2:$M$55,4),Programmes!$M$2:$M$55,0))</f>
        <v>Job Readiness Edition — wojrc.org programmes</v>
      </c>
      <c r="B35" s="10" t="n">
        <f aca="false">INDEX(Programmes!$D$2:$D$55,MATCH(LARGE(Programmes!$M$2:$M$55,4),Programmes!$M$2:$M$55,0))</f>
        <v>32</v>
      </c>
      <c r="C35" s="11" t="n">
        <f aca="false">INDEX(Programmes!$L$2:$L$55,MATCH(LARGE(Programmes!$M$2:$M$55,4),Programmes!$M$2:$M$55,0))</f>
        <v>95.7</v>
      </c>
    </row>
    <row r="36" customFormat="false" ht="15" hidden="false" customHeight="false" outlineLevel="0" collapsed="false">
      <c r="A36" s="10" t="str">
        <f aca="false">INDEX(Programmes!$B$2:$B$55,MATCH(LARGE(Programmes!$M$2:$M$55,5),Programmes!$M$2:$M$55,0))</f>
        <v>Hunters Point Edition — Can We Live?</v>
      </c>
      <c r="B36" s="10" t="n">
        <f aca="false">INDEX(Programmes!$D$2:$D$55,MATCH(LARGE(Programmes!$M$2:$M$55,5),Programmes!$M$2:$M$55,0))</f>
        <v>26</v>
      </c>
      <c r="C36" s="11" t="n">
        <f aca="false">INDEX(Programmes!$L$2:$L$55,MATCH(LARGE(Programmes!$M$2:$M$55,5),Programmes!$M$2:$M$55,0))</f>
        <v>94</v>
      </c>
    </row>
    <row r="37" customFormat="false" ht="15" hidden="false" customHeight="false" outlineLevel="0" collapsed="false">
      <c r="A37" s="10" t="str">
        <f aca="false">INDEX(Programmes!$B$2:$B$55,MATCH(LARGE(Programmes!$M$2:$M$55,6),Programmes!$M$2:$M$55,0))</f>
        <v>Hunters Point Clean-up and Bay Restoration</v>
      </c>
      <c r="B37" s="10" t="n">
        <f aca="false">INDEX(Programmes!$D$2:$D$55,MATCH(LARGE(Programmes!$M$2:$M$55,6),Programmes!$M$2:$M$55,0))</f>
        <v>26</v>
      </c>
      <c r="C37" s="11" t="n">
        <f aca="false">INDEX(Programmes!$L$2:$L$55,MATCH(LARGE(Programmes!$M$2:$M$55,6),Programmes!$M$2:$M$55,0))</f>
        <v>94.5</v>
      </c>
    </row>
    <row r="38" customFormat="false" ht="15" hidden="false" customHeight="false" outlineLevel="0" collapsed="false">
      <c r="A38" s="10" t="str">
        <f aca="false">INDEX(Programmes!$B$2:$B$55,MATCH(LARGE(Programmes!$M$2:$M$55,7),Programmes!$M$2:$M$55,0))</f>
        <v>Situational Awareness — Interruption Drill</v>
      </c>
      <c r="B38" s="10" t="n">
        <f aca="false">INDEX(Programmes!$D$2:$D$55,MATCH(LARGE(Programmes!$M$2:$M$55,7),Programmes!$M$2:$M$55,0))</f>
        <v>22</v>
      </c>
      <c r="C38" s="11" t="n">
        <f aca="false">INDEX(Programmes!$L$2:$L$55,MATCH(LARGE(Programmes!$M$2:$M$55,7),Programmes!$M$2:$M$55,0))</f>
        <v>94.8</v>
      </c>
    </row>
    <row r="39" customFormat="false" ht="15" hidden="false" customHeight="false" outlineLevel="0" collapsed="false">
      <c r="A39" s="10" t="str">
        <f aca="false">INDEX(Programmes!$B$2:$B$55,MATCH(LARGE(Programmes!$M$2:$M$55,8),Programmes!$M$2:$M$55,0))</f>
        <v>Property Management — Twenty Zones</v>
      </c>
      <c r="B39" s="10" t="n">
        <f aca="false">INDEX(Programmes!$D$2:$D$55,MATCH(LARGE(Programmes!$M$2:$M$55,8),Programmes!$M$2:$M$55,0))</f>
        <v>21</v>
      </c>
      <c r="C39" s="11" t="n">
        <f aca="false">INDEX(Programmes!$L$2:$L$55,MATCH(LARGE(Programmes!$M$2:$M$55,8),Programmes!$M$2:$M$55,0))</f>
        <v>97.6</v>
      </c>
    </row>
    <row r="40" customFormat="false" ht="15" hidden="false" customHeight="false" outlineLevel="0" collapsed="false">
      <c r="A40" s="10" t="str">
        <f aca="false">INDEX(Programmes!$B$2:$B$55,MATCH(LARGE(Programmes!$M$2:$M$55,9),Programmes!$M$2:$M$55,0))</f>
        <v>Dental Careers — Unspoken Smiles</v>
      </c>
      <c r="B40" s="10" t="n">
        <f aca="false">INDEX(Programmes!$D$2:$D$55,MATCH(LARGE(Programmes!$M$2:$M$55,9),Programmes!$M$2:$M$55,0))</f>
        <v>19</v>
      </c>
      <c r="C40" s="11" t="n">
        <f aca="false">INDEX(Programmes!$L$2:$L$55,MATCH(LARGE(Programmes!$M$2:$M$55,9),Programmes!$M$2:$M$55,0))</f>
        <v>96.7</v>
      </c>
    </row>
    <row r="41" customFormat="false" ht="15" hidden="false" customHeight="false" outlineLevel="0" collapsed="false">
      <c r="A41" s="10" t="str">
        <f aca="false">INDEX(Programmes!$B$2:$B$55,MATCH(LARGE(Programmes!$M$2:$M$55,10),Programmes!$M$2:$M$55,0))</f>
        <v>Dental Hygiene — Unspoken Smiles</v>
      </c>
      <c r="B41" s="10" t="n">
        <f aca="false">INDEX(Programmes!$D$2:$D$55,MATCH(LARGE(Programmes!$M$2:$M$55,10),Programmes!$M$2:$M$55,0))</f>
        <v>19</v>
      </c>
      <c r="C41" s="11" t="n">
        <f aca="false">INDEX(Programmes!$L$2:$L$55,MATCH(LARGE(Programmes!$M$2:$M$55,10),Programmes!$M$2:$M$55,0))</f>
        <v>97.1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4"/>
    <col collapsed="false" customWidth="true" hidden="false" outlineLevel="0" max="3" min="3" style="0" width="28"/>
  </cols>
  <sheetData>
    <row r="1" customFormat="false" ht="19.7" hidden="false" customHeight="false" outlineLevel="0" collapsed="false">
      <c r="A1" s="1" t="s">
        <v>46</v>
      </c>
    </row>
    <row r="2" customFormat="false" ht="39.75" hidden="false" customHeight="true" outlineLevel="0" collapsed="false">
      <c r="A2" s="2" t="s">
        <v>47</v>
      </c>
      <c r="B2" s="2"/>
      <c r="C2" s="2"/>
      <c r="D2" s="2"/>
    </row>
    <row r="4" customFormat="false" ht="15" hidden="false" customHeight="false" outlineLevel="0" collapsed="false">
      <c r="A4" s="3" t="s">
        <v>48</v>
      </c>
      <c r="B4" s="3" t="s">
        <v>3</v>
      </c>
      <c r="C4" s="3" t="s">
        <v>49</v>
      </c>
    </row>
    <row r="5" customFormat="false" ht="15" hidden="false" customHeight="false" outlineLevel="0" collapsed="false">
      <c r="A5" s="10" t="s">
        <v>50</v>
      </c>
      <c r="B5" s="12" t="s">
        <v>51</v>
      </c>
      <c r="C5" s="13" t="s">
        <v>52</v>
      </c>
    </row>
    <row r="6" customFormat="false" ht="15" hidden="false" customHeight="false" outlineLevel="0" collapsed="false">
      <c r="A6" s="10" t="s">
        <v>53</v>
      </c>
      <c r="B6" s="12" t="n">
        <v>12</v>
      </c>
      <c r="C6" s="13" t="s">
        <v>52</v>
      </c>
    </row>
    <row r="7" customFormat="false" ht="15" hidden="false" customHeight="false" outlineLevel="0" collapsed="false">
      <c r="A7" s="10" t="s">
        <v>54</v>
      </c>
      <c r="B7" s="12" t="n">
        <v>8</v>
      </c>
      <c r="C7" s="13" t="s">
        <v>52</v>
      </c>
    </row>
    <row r="8" customFormat="false" ht="15" hidden="false" customHeight="false" outlineLevel="0" collapsed="false">
      <c r="A8" s="10" t="s">
        <v>55</v>
      </c>
      <c r="B8" s="12" t="n">
        <v>2</v>
      </c>
      <c r="C8" s="13" t="s">
        <v>52</v>
      </c>
    </row>
    <row r="9" customFormat="false" ht="15" hidden="false" customHeight="false" outlineLevel="0" collapsed="false">
      <c r="A9" s="10" t="s">
        <v>56</v>
      </c>
      <c r="B9" s="12" t="n">
        <v>3</v>
      </c>
      <c r="C9" s="13" t="s">
        <v>52</v>
      </c>
    </row>
    <row r="11" customFormat="false" ht="15" hidden="false" customHeight="false" outlineLevel="0" collapsed="false">
      <c r="A11" s="3" t="s">
        <v>57</v>
      </c>
      <c r="B11" s="3" t="s">
        <v>3</v>
      </c>
      <c r="C11" s="14"/>
    </row>
    <row r="12" customFormat="false" ht="15" hidden="false" customHeight="false" outlineLevel="0" collapsed="false">
      <c r="A12" s="10" t="s">
        <v>58</v>
      </c>
      <c r="B12" s="15" t="str">
        <f aca="false">IFERROR(INDEX(Programmes!$B$2:$B$55,MATCH($B$5,Programmes!$A$2:$A$55,0)),"id not found")</f>
        <v>Pathway Edition — wojrc.org</v>
      </c>
    </row>
    <row r="13" customFormat="false" ht="15" hidden="false" customHeight="false" outlineLevel="0" collapsed="false">
      <c r="A13" s="10" t="s">
        <v>59</v>
      </c>
      <c r="B13" s="16" t="n">
        <f aca="false">IFERROR(INDEX(Programmes!$D$2:$D$55,MATCH($B$5,Programmes!$A$2:$A$55,0)),0)</f>
        <v>40</v>
      </c>
    </row>
    <row r="14" customFormat="false" ht="15" hidden="false" customHeight="false" outlineLevel="0" collapsed="false">
      <c r="A14" s="10" t="s">
        <v>60</v>
      </c>
      <c r="B14" s="17" t="n">
        <f aca="false">IFERROR(INDEX(Programmes!$L$2:$L$55,MATCH($B$5,Programmes!$A$2:$A$55,0)),0)</f>
        <v>95.7</v>
      </c>
    </row>
    <row r="15" customFormat="false" ht="15" hidden="false" customHeight="false" outlineLevel="0" collapsed="false">
      <c r="A15" s="10" t="s">
        <v>61</v>
      </c>
      <c r="B15" s="16" t="n">
        <f aca="false">B6*B7*B8*B9</f>
        <v>576</v>
      </c>
    </row>
    <row r="16" customFormat="false" ht="15" hidden="false" customHeight="false" outlineLevel="0" collapsed="false">
      <c r="A16" s="10" t="s">
        <v>62</v>
      </c>
      <c r="B16" s="16" t="n">
        <f aca="false">B7*B8*B9</f>
        <v>48</v>
      </c>
    </row>
    <row r="17" customFormat="false" ht="15" hidden="false" customHeight="false" outlineLevel="0" collapsed="false">
      <c r="A17" s="10" t="s">
        <v>63</v>
      </c>
      <c r="B17" s="17" t="n">
        <f aca="false">IFERROR(B16/B13,0)</f>
        <v>1.2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4"/>
    <col collapsed="false" customWidth="true" hidden="false" outlineLevel="0" max="6" min="5" style="0" width="60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60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73</v>
      </c>
      <c r="K1" s="18" t="s">
        <v>74</v>
      </c>
      <c r="L1" s="18" t="s">
        <v>75</v>
      </c>
      <c r="M1" s="3" t="s">
        <v>76</v>
      </c>
    </row>
    <row r="2" customFormat="false" ht="15" hidden="false" customHeight="false" outlineLevel="0" collapsed="false">
      <c r="A2" s="10" t="s">
        <v>77</v>
      </c>
      <c r="B2" s="10" t="s">
        <v>78</v>
      </c>
      <c r="C2" s="10" t="s">
        <v>79</v>
      </c>
      <c r="D2" s="10" t="n">
        <v>8</v>
      </c>
      <c r="E2" s="10" t="s">
        <v>80</v>
      </c>
      <c r="F2" s="10" t="s">
        <v>81</v>
      </c>
      <c r="G2" s="10" t="n">
        <v>4</v>
      </c>
      <c r="H2" s="10" t="n">
        <v>20</v>
      </c>
      <c r="I2" s="10" t="n">
        <v>19</v>
      </c>
      <c r="J2" s="10" t="s">
        <v>82</v>
      </c>
      <c r="K2" s="10"/>
      <c r="L2" s="10" t="n">
        <v>96.6</v>
      </c>
      <c r="M2" s="19" t="n">
        <f aca="false">D2+ROW()/100000</f>
        <v>8.00002</v>
      </c>
    </row>
    <row r="3" customFormat="false" ht="15" hidden="false" customHeight="false" outlineLevel="0" collapsed="false">
      <c r="A3" s="10" t="s">
        <v>83</v>
      </c>
      <c r="B3" s="10" t="s">
        <v>84</v>
      </c>
      <c r="C3" s="10" t="s">
        <v>85</v>
      </c>
      <c r="D3" s="10" t="n">
        <v>8</v>
      </c>
      <c r="E3" s="10" t="s">
        <v>86</v>
      </c>
      <c r="F3" s="10" t="s">
        <v>87</v>
      </c>
      <c r="G3" s="10" t="n">
        <v>4</v>
      </c>
      <c r="H3" s="10" t="n">
        <v>20</v>
      </c>
      <c r="I3" s="10" t="n">
        <v>20</v>
      </c>
      <c r="J3" s="10" t="s">
        <v>88</v>
      </c>
      <c r="K3" s="10" t="s">
        <v>89</v>
      </c>
      <c r="L3" s="10" t="n">
        <v>96.3</v>
      </c>
      <c r="M3" s="19" t="n">
        <f aca="false">D3+ROW()/100000</f>
        <v>8.00003</v>
      </c>
    </row>
    <row r="4" customFormat="false" ht="15" hidden="false" customHeight="false" outlineLevel="0" collapsed="false">
      <c r="A4" s="10" t="s">
        <v>90</v>
      </c>
      <c r="B4" s="10" t="s">
        <v>91</v>
      </c>
      <c r="C4" s="10" t="s">
        <v>92</v>
      </c>
      <c r="D4" s="10" t="n">
        <v>7</v>
      </c>
      <c r="E4" s="10" t="s">
        <v>93</v>
      </c>
      <c r="F4" s="10" t="s">
        <v>94</v>
      </c>
      <c r="G4" s="10" t="n">
        <v>4</v>
      </c>
      <c r="H4" s="10" t="n">
        <v>20</v>
      </c>
      <c r="I4" s="10" t="n">
        <v>20</v>
      </c>
      <c r="J4" s="10" t="s">
        <v>95</v>
      </c>
      <c r="K4" s="10"/>
      <c r="L4" s="10" t="n">
        <v>95.6</v>
      </c>
      <c r="M4" s="19" t="n">
        <f aca="false">D4+ROW()/100000</f>
        <v>7.00004</v>
      </c>
    </row>
    <row r="5" customFormat="false" ht="15" hidden="false" customHeight="false" outlineLevel="0" collapsed="false">
      <c r="A5" s="10" t="s">
        <v>96</v>
      </c>
      <c r="B5" s="10" t="s">
        <v>97</v>
      </c>
      <c r="C5" s="10" t="s">
        <v>98</v>
      </c>
      <c r="D5" s="10" t="n">
        <v>10</v>
      </c>
      <c r="E5" s="10" t="s">
        <v>99</v>
      </c>
      <c r="F5" s="10" t="s">
        <v>100</v>
      </c>
      <c r="G5" s="10" t="n">
        <v>5</v>
      </c>
      <c r="H5" s="10" t="n">
        <v>20</v>
      </c>
      <c r="I5" s="10" t="n">
        <v>20</v>
      </c>
      <c r="J5" s="10" t="s">
        <v>101</v>
      </c>
      <c r="K5" s="10" t="s">
        <v>102</v>
      </c>
      <c r="L5" s="10" t="n">
        <v>92.5</v>
      </c>
      <c r="M5" s="19" t="n">
        <f aca="false">D5+ROW()/100000</f>
        <v>10.00005</v>
      </c>
    </row>
    <row r="6" customFormat="false" ht="15" hidden="false" customHeight="false" outlineLevel="0" collapsed="false">
      <c r="A6" s="10" t="s">
        <v>103</v>
      </c>
      <c r="B6" s="10" t="s">
        <v>104</v>
      </c>
      <c r="C6" s="10" t="s">
        <v>105</v>
      </c>
      <c r="D6" s="10" t="n">
        <v>6</v>
      </c>
      <c r="E6" s="10" t="s">
        <v>106</v>
      </c>
      <c r="F6" s="10" t="s">
        <v>107</v>
      </c>
      <c r="G6" s="10" t="n">
        <v>3</v>
      </c>
      <c r="H6" s="10" t="n">
        <v>20</v>
      </c>
      <c r="I6" s="10" t="n">
        <v>20</v>
      </c>
      <c r="J6" s="10" t="s">
        <v>108</v>
      </c>
      <c r="K6" s="10" t="s">
        <v>109</v>
      </c>
      <c r="L6" s="10" t="n">
        <v>93.8</v>
      </c>
      <c r="M6" s="19" t="n">
        <f aca="false">D6+ROW()/100000</f>
        <v>6.00006</v>
      </c>
    </row>
    <row r="7" customFormat="false" ht="15" hidden="false" customHeight="false" outlineLevel="0" collapsed="false">
      <c r="A7" s="10" t="s">
        <v>110</v>
      </c>
      <c r="B7" s="10" t="s">
        <v>111</v>
      </c>
      <c r="C7" s="10" t="s">
        <v>112</v>
      </c>
      <c r="D7" s="10" t="n">
        <v>7</v>
      </c>
      <c r="E7" s="10" t="s">
        <v>113</v>
      </c>
      <c r="F7" s="10" t="s">
        <v>114</v>
      </c>
      <c r="G7" s="10" t="n">
        <v>4</v>
      </c>
      <c r="H7" s="10" t="n">
        <v>20</v>
      </c>
      <c r="I7" s="10" t="n">
        <v>20</v>
      </c>
      <c r="J7" s="10" t="s">
        <v>115</v>
      </c>
      <c r="K7" s="10"/>
      <c r="L7" s="10" t="n">
        <v>93.3</v>
      </c>
      <c r="M7" s="19" t="n">
        <f aca="false">D7+ROW()/100000</f>
        <v>7.00007</v>
      </c>
    </row>
    <row r="8" customFormat="false" ht="15" hidden="false" customHeight="false" outlineLevel="0" collapsed="false">
      <c r="A8" s="10" t="s">
        <v>116</v>
      </c>
      <c r="B8" s="10" t="s">
        <v>117</v>
      </c>
      <c r="C8" s="10" t="s">
        <v>118</v>
      </c>
      <c r="D8" s="10" t="n">
        <v>7</v>
      </c>
      <c r="E8" s="10" t="s">
        <v>119</v>
      </c>
      <c r="F8" s="10" t="s">
        <v>120</v>
      </c>
      <c r="G8" s="10" t="n">
        <v>4</v>
      </c>
      <c r="H8" s="10" t="n">
        <v>20</v>
      </c>
      <c r="I8" s="10" t="n">
        <v>20</v>
      </c>
      <c r="J8" s="10" t="s">
        <v>121</v>
      </c>
      <c r="K8" s="10" t="s">
        <v>122</v>
      </c>
      <c r="L8" s="10" t="n">
        <v>94.3</v>
      </c>
      <c r="M8" s="19" t="n">
        <f aca="false">D8+ROW()/100000</f>
        <v>7.00008</v>
      </c>
    </row>
    <row r="9" customFormat="false" ht="15" hidden="false" customHeight="false" outlineLevel="0" collapsed="false">
      <c r="A9" s="10" t="s">
        <v>123</v>
      </c>
      <c r="B9" s="10" t="s">
        <v>124</v>
      </c>
      <c r="C9" s="10" t="s">
        <v>125</v>
      </c>
      <c r="D9" s="10" t="n">
        <v>7</v>
      </c>
      <c r="E9" s="10" t="s">
        <v>126</v>
      </c>
      <c r="F9" s="10" t="s">
        <v>127</v>
      </c>
      <c r="G9" s="10" t="n">
        <v>4</v>
      </c>
      <c r="H9" s="10" t="n">
        <v>20</v>
      </c>
      <c r="I9" s="10" t="n">
        <v>20</v>
      </c>
      <c r="J9" s="10" t="s">
        <v>128</v>
      </c>
      <c r="K9" s="10"/>
      <c r="L9" s="10" t="n">
        <v>94.7</v>
      </c>
      <c r="M9" s="19" t="n">
        <f aca="false">D9+ROW()/100000</f>
        <v>7.00009</v>
      </c>
    </row>
    <row r="10" customFormat="false" ht="15" hidden="false" customHeight="false" outlineLevel="0" collapsed="false">
      <c r="A10" s="10" t="s">
        <v>129</v>
      </c>
      <c r="B10" s="10" t="s">
        <v>130</v>
      </c>
      <c r="C10" s="10" t="s">
        <v>131</v>
      </c>
      <c r="D10" s="10" t="n">
        <v>9</v>
      </c>
      <c r="E10" s="10" t="s">
        <v>80</v>
      </c>
      <c r="F10" s="10" t="s">
        <v>81</v>
      </c>
      <c r="G10" s="10" t="n">
        <v>5</v>
      </c>
      <c r="H10" s="10" t="n">
        <v>20</v>
      </c>
      <c r="I10" s="10" t="n">
        <v>20</v>
      </c>
      <c r="J10" s="10" t="s">
        <v>132</v>
      </c>
      <c r="K10" s="10"/>
      <c r="L10" s="10" t="n">
        <v>97.1</v>
      </c>
      <c r="M10" s="19" t="n">
        <f aca="false">D10+ROW()/100000</f>
        <v>9.0001</v>
      </c>
    </row>
    <row r="11" customFormat="false" ht="15" hidden="false" customHeight="false" outlineLevel="0" collapsed="false">
      <c r="A11" s="10" t="s">
        <v>133</v>
      </c>
      <c r="B11" s="10" t="s">
        <v>134</v>
      </c>
      <c r="C11" s="10" t="s">
        <v>135</v>
      </c>
      <c r="D11" s="10" t="n">
        <v>7</v>
      </c>
      <c r="E11" s="10" t="s">
        <v>136</v>
      </c>
      <c r="F11" s="10" t="s">
        <v>137</v>
      </c>
      <c r="G11" s="10" t="n">
        <v>4</v>
      </c>
      <c r="H11" s="10" t="n">
        <v>20</v>
      </c>
      <c r="I11" s="10" t="n">
        <v>20</v>
      </c>
      <c r="J11" s="10" t="s">
        <v>138</v>
      </c>
      <c r="K11" s="10"/>
      <c r="L11" s="10" t="n">
        <v>95.3</v>
      </c>
      <c r="M11" s="19" t="n">
        <f aca="false">D11+ROW()/100000</f>
        <v>7.00011</v>
      </c>
    </row>
    <row r="12" customFormat="false" ht="15" hidden="false" customHeight="false" outlineLevel="0" collapsed="false">
      <c r="A12" s="10" t="s">
        <v>139</v>
      </c>
      <c r="B12" s="10" t="s">
        <v>140</v>
      </c>
      <c r="C12" s="10" t="s">
        <v>141</v>
      </c>
      <c r="D12" s="10" t="n">
        <v>26</v>
      </c>
      <c r="E12" s="10" t="s">
        <v>142</v>
      </c>
      <c r="F12" s="10" t="s">
        <v>143</v>
      </c>
      <c r="G12" s="10" t="n">
        <v>6</v>
      </c>
      <c r="H12" s="10" t="n">
        <v>20</v>
      </c>
      <c r="I12" s="10" t="n">
        <v>20</v>
      </c>
      <c r="J12" s="10" t="s">
        <v>144</v>
      </c>
      <c r="K12" s="10" t="s">
        <v>145</v>
      </c>
      <c r="L12" s="10" t="n">
        <v>94.5</v>
      </c>
      <c r="M12" s="19" t="n">
        <f aca="false">D12+ROW()/100000</f>
        <v>26.00012</v>
      </c>
    </row>
    <row r="13" customFormat="false" ht="15" hidden="false" customHeight="false" outlineLevel="0" collapsed="false">
      <c r="A13" s="10" t="s">
        <v>146</v>
      </c>
      <c r="B13" s="10" t="s">
        <v>147</v>
      </c>
      <c r="C13" s="10" t="s">
        <v>148</v>
      </c>
      <c r="D13" s="10" t="n">
        <v>16</v>
      </c>
      <c r="E13" s="10" t="s">
        <v>149</v>
      </c>
      <c r="F13" s="10" t="s">
        <v>150</v>
      </c>
      <c r="G13" s="10" t="n">
        <v>6</v>
      </c>
      <c r="H13" s="10" t="n">
        <v>20</v>
      </c>
      <c r="I13" s="10" t="n">
        <v>20</v>
      </c>
      <c r="J13" s="10" t="s">
        <v>151</v>
      </c>
      <c r="K13" s="10"/>
      <c r="L13" s="10" t="n">
        <v>94.1</v>
      </c>
      <c r="M13" s="19" t="n">
        <f aca="false">D13+ROW()/100000</f>
        <v>16.00013</v>
      </c>
    </row>
    <row r="14" customFormat="false" ht="15" hidden="false" customHeight="false" outlineLevel="0" collapsed="false">
      <c r="A14" s="10" t="s">
        <v>152</v>
      </c>
      <c r="B14" s="10" t="s">
        <v>153</v>
      </c>
      <c r="C14" s="10" t="s">
        <v>154</v>
      </c>
      <c r="D14" s="10" t="n">
        <v>19</v>
      </c>
      <c r="E14" s="10" t="s">
        <v>155</v>
      </c>
      <c r="F14" s="10" t="s">
        <v>156</v>
      </c>
      <c r="G14" s="10" t="n">
        <v>6</v>
      </c>
      <c r="H14" s="10" t="n">
        <v>20</v>
      </c>
      <c r="I14" s="10" t="n">
        <v>20</v>
      </c>
      <c r="J14" s="10" t="s">
        <v>157</v>
      </c>
      <c r="K14" s="10"/>
      <c r="L14" s="10" t="n">
        <v>97.1</v>
      </c>
      <c r="M14" s="19" t="n">
        <f aca="false">D14+ROW()/100000</f>
        <v>19.00014</v>
      </c>
    </row>
    <row r="15" customFormat="false" ht="15" hidden="false" customHeight="false" outlineLevel="0" collapsed="false">
      <c r="A15" s="10" t="s">
        <v>158</v>
      </c>
      <c r="B15" s="10" t="s">
        <v>159</v>
      </c>
      <c r="C15" s="10" t="s">
        <v>160</v>
      </c>
      <c r="D15" s="10" t="n">
        <v>19</v>
      </c>
      <c r="E15" s="10" t="s">
        <v>155</v>
      </c>
      <c r="F15" s="10" t="s">
        <v>156</v>
      </c>
      <c r="G15" s="10" t="n">
        <v>6</v>
      </c>
      <c r="H15" s="10" t="n">
        <v>20</v>
      </c>
      <c r="I15" s="10" t="n">
        <v>20</v>
      </c>
      <c r="J15" s="10" t="s">
        <v>157</v>
      </c>
      <c r="K15" s="10"/>
      <c r="L15" s="10" t="n">
        <v>96.7</v>
      </c>
      <c r="M15" s="19" t="n">
        <f aca="false">D15+ROW()/100000</f>
        <v>19.00015</v>
      </c>
    </row>
    <row r="16" customFormat="false" ht="15" hidden="false" customHeight="false" outlineLevel="0" collapsed="false">
      <c r="A16" s="10" t="s">
        <v>161</v>
      </c>
      <c r="B16" s="10" t="s">
        <v>162</v>
      </c>
      <c r="C16" s="10" t="s">
        <v>163</v>
      </c>
      <c r="D16" s="10" t="n">
        <v>17</v>
      </c>
      <c r="E16" s="10" t="s">
        <v>164</v>
      </c>
      <c r="F16" s="10" t="s">
        <v>165</v>
      </c>
      <c r="G16" s="10" t="n">
        <v>6</v>
      </c>
      <c r="H16" s="10" t="n">
        <v>20</v>
      </c>
      <c r="I16" s="10" t="n">
        <v>20</v>
      </c>
      <c r="J16" s="10" t="s">
        <v>166</v>
      </c>
      <c r="K16" s="10"/>
      <c r="L16" s="10" t="n">
        <v>96.4</v>
      </c>
      <c r="M16" s="19" t="n">
        <f aca="false">D16+ROW()/100000</f>
        <v>17.00016</v>
      </c>
    </row>
    <row r="17" customFormat="false" ht="15" hidden="false" customHeight="false" outlineLevel="0" collapsed="false">
      <c r="A17" s="10" t="s">
        <v>167</v>
      </c>
      <c r="B17" s="10" t="s">
        <v>168</v>
      </c>
      <c r="C17" s="10" t="s">
        <v>169</v>
      </c>
      <c r="D17" s="10" t="n">
        <v>21</v>
      </c>
      <c r="E17" s="10" t="s">
        <v>170</v>
      </c>
      <c r="F17" s="10" t="s">
        <v>171</v>
      </c>
      <c r="G17" s="10" t="n">
        <v>6</v>
      </c>
      <c r="H17" s="10" t="n">
        <v>20</v>
      </c>
      <c r="I17" s="10" t="n">
        <v>20</v>
      </c>
      <c r="J17" s="10" t="s">
        <v>172</v>
      </c>
      <c r="K17" s="10"/>
      <c r="L17" s="10" t="n">
        <v>97.6</v>
      </c>
      <c r="M17" s="19" t="n">
        <f aca="false">D17+ROW()/100000</f>
        <v>21.00017</v>
      </c>
    </row>
    <row r="18" customFormat="false" ht="15" hidden="false" customHeight="false" outlineLevel="0" collapsed="false">
      <c r="A18" s="10" t="s">
        <v>173</v>
      </c>
      <c r="B18" s="10" t="s">
        <v>174</v>
      </c>
      <c r="C18" s="10" t="s">
        <v>175</v>
      </c>
      <c r="D18" s="10" t="n">
        <v>11</v>
      </c>
      <c r="E18" s="10" t="s">
        <v>176</v>
      </c>
      <c r="F18" s="10" t="s">
        <v>165</v>
      </c>
      <c r="G18" s="10" t="n">
        <v>6</v>
      </c>
      <c r="H18" s="10" t="n">
        <v>20</v>
      </c>
      <c r="I18" s="10" t="n">
        <v>20</v>
      </c>
      <c r="J18" s="10" t="s">
        <v>177</v>
      </c>
      <c r="K18" s="10"/>
      <c r="L18" s="10" t="n">
        <v>97.6</v>
      </c>
      <c r="M18" s="19" t="n">
        <f aca="false">D18+ROW()/100000</f>
        <v>11.00018</v>
      </c>
    </row>
    <row r="19" customFormat="false" ht="15" hidden="false" customHeight="false" outlineLevel="0" collapsed="false">
      <c r="A19" s="10" t="s">
        <v>178</v>
      </c>
      <c r="B19" s="10" t="s">
        <v>179</v>
      </c>
      <c r="C19" s="10" t="s">
        <v>180</v>
      </c>
      <c r="D19" s="10" t="n">
        <v>32</v>
      </c>
      <c r="E19" s="10" t="s">
        <v>181</v>
      </c>
      <c r="F19" s="10" t="s">
        <v>182</v>
      </c>
      <c r="G19" s="10" t="n">
        <v>6</v>
      </c>
      <c r="H19" s="10" t="n">
        <v>20</v>
      </c>
      <c r="I19" s="10" t="n">
        <v>20</v>
      </c>
      <c r="J19" s="10" t="s">
        <v>183</v>
      </c>
      <c r="K19" s="10"/>
      <c r="L19" s="10" t="n">
        <v>95.7</v>
      </c>
      <c r="M19" s="19" t="n">
        <f aca="false">D19+ROW()/100000</f>
        <v>32.00019</v>
      </c>
    </row>
    <row r="20" customFormat="false" ht="15" hidden="false" customHeight="false" outlineLevel="0" collapsed="false">
      <c r="A20" s="10" t="s">
        <v>184</v>
      </c>
      <c r="B20" s="10" t="s">
        <v>185</v>
      </c>
      <c r="C20" s="10" t="s">
        <v>186</v>
      </c>
      <c r="D20" s="10" t="n">
        <v>42</v>
      </c>
      <c r="E20" s="10" t="s">
        <v>187</v>
      </c>
      <c r="F20" s="10" t="s">
        <v>188</v>
      </c>
      <c r="G20" s="10" t="n">
        <v>6</v>
      </c>
      <c r="H20" s="10" t="n">
        <v>20</v>
      </c>
      <c r="I20" s="10" t="n">
        <v>20</v>
      </c>
      <c r="J20" s="10" t="s">
        <v>189</v>
      </c>
      <c r="K20" s="10" t="s">
        <v>190</v>
      </c>
      <c r="L20" s="10" t="n">
        <v>96.5</v>
      </c>
      <c r="M20" s="19" t="n">
        <f aca="false">D20+ROW()/100000</f>
        <v>42.0002</v>
      </c>
    </row>
    <row r="21" customFormat="false" ht="15" hidden="false" customHeight="false" outlineLevel="0" collapsed="false">
      <c r="A21" s="10" t="s">
        <v>191</v>
      </c>
      <c r="B21" s="10" t="s">
        <v>192</v>
      </c>
      <c r="C21" s="10" t="s">
        <v>148</v>
      </c>
      <c r="D21" s="10" t="n">
        <v>16</v>
      </c>
      <c r="E21" s="10" t="s">
        <v>193</v>
      </c>
      <c r="F21" s="10" t="s">
        <v>194</v>
      </c>
      <c r="G21" s="10" t="n">
        <v>6</v>
      </c>
      <c r="H21" s="10" t="n">
        <v>20</v>
      </c>
      <c r="I21" s="10" t="n">
        <v>20</v>
      </c>
      <c r="J21" s="10" t="s">
        <v>195</v>
      </c>
      <c r="K21" s="10"/>
      <c r="L21" s="10" t="n">
        <v>94.6</v>
      </c>
      <c r="M21" s="19" t="n">
        <f aca="false">D21+ROW()/100000</f>
        <v>16.00021</v>
      </c>
    </row>
    <row r="22" customFormat="false" ht="15" hidden="false" customHeight="false" outlineLevel="0" collapsed="false">
      <c r="A22" s="10" t="s">
        <v>196</v>
      </c>
      <c r="B22" s="10" t="s">
        <v>197</v>
      </c>
      <c r="C22" s="10" t="s">
        <v>198</v>
      </c>
      <c r="D22" s="10" t="n">
        <v>26</v>
      </c>
      <c r="E22" s="10" t="s">
        <v>199</v>
      </c>
      <c r="F22" s="10" t="s">
        <v>200</v>
      </c>
      <c r="G22" s="10" t="n">
        <v>6</v>
      </c>
      <c r="H22" s="10" t="n">
        <v>20</v>
      </c>
      <c r="I22" s="10" t="n">
        <v>20</v>
      </c>
      <c r="J22" s="10" t="s">
        <v>201</v>
      </c>
      <c r="K22" s="10" t="s">
        <v>202</v>
      </c>
      <c r="L22" s="10" t="n">
        <v>94</v>
      </c>
      <c r="M22" s="19" t="n">
        <f aca="false">D22+ROW()/100000</f>
        <v>26.00022</v>
      </c>
    </row>
    <row r="23" customFormat="false" ht="15" hidden="false" customHeight="false" outlineLevel="0" collapsed="false">
      <c r="A23" s="10" t="s">
        <v>203</v>
      </c>
      <c r="B23" s="10" t="s">
        <v>204</v>
      </c>
      <c r="C23" s="10" t="s">
        <v>205</v>
      </c>
      <c r="D23" s="10" t="n">
        <v>11</v>
      </c>
      <c r="E23" s="10" t="s">
        <v>206</v>
      </c>
      <c r="F23" s="10" t="s">
        <v>207</v>
      </c>
      <c r="G23" s="10" t="n">
        <v>6</v>
      </c>
      <c r="H23" s="10" t="n">
        <v>20</v>
      </c>
      <c r="I23" s="10" t="n">
        <v>20</v>
      </c>
      <c r="J23" s="10" t="s">
        <v>208</v>
      </c>
      <c r="K23" s="10"/>
      <c r="L23" s="10" t="n">
        <v>96.2</v>
      </c>
      <c r="M23" s="19" t="n">
        <f aca="false">D23+ROW()/100000</f>
        <v>11.00023</v>
      </c>
    </row>
    <row r="24" customFormat="false" ht="15" hidden="false" customHeight="false" outlineLevel="0" collapsed="false">
      <c r="A24" s="10" t="s">
        <v>209</v>
      </c>
      <c r="B24" s="10" t="s">
        <v>210</v>
      </c>
      <c r="C24" s="10" t="s">
        <v>211</v>
      </c>
      <c r="D24" s="10" t="n">
        <v>7</v>
      </c>
      <c r="E24" s="10" t="s">
        <v>212</v>
      </c>
      <c r="F24" s="10" t="s">
        <v>213</v>
      </c>
      <c r="G24" s="10" t="n">
        <v>4</v>
      </c>
      <c r="H24" s="10" t="n">
        <v>20</v>
      </c>
      <c r="I24" s="10" t="n">
        <v>20</v>
      </c>
      <c r="J24" s="10" t="s">
        <v>214</v>
      </c>
      <c r="K24" s="10" t="s">
        <v>215</v>
      </c>
      <c r="L24" s="10" t="n">
        <v>95.6</v>
      </c>
      <c r="M24" s="19" t="n">
        <f aca="false">D24+ROW()/100000</f>
        <v>7.00024</v>
      </c>
    </row>
    <row r="25" customFormat="false" ht="15" hidden="false" customHeight="false" outlineLevel="0" collapsed="false">
      <c r="A25" s="10" t="s">
        <v>216</v>
      </c>
      <c r="B25" s="10" t="s">
        <v>217</v>
      </c>
      <c r="C25" s="10" t="s">
        <v>218</v>
      </c>
      <c r="D25" s="10" t="n">
        <v>7</v>
      </c>
      <c r="E25" s="10" t="s">
        <v>193</v>
      </c>
      <c r="F25" s="10" t="s">
        <v>194</v>
      </c>
      <c r="G25" s="10" t="n">
        <v>4</v>
      </c>
      <c r="H25" s="10" t="n">
        <v>20</v>
      </c>
      <c r="I25" s="10" t="n">
        <v>20</v>
      </c>
      <c r="J25" s="10" t="s">
        <v>219</v>
      </c>
      <c r="K25" s="10"/>
      <c r="L25" s="10" t="n">
        <v>96.9</v>
      </c>
      <c r="M25" s="19" t="n">
        <f aca="false">D25+ROW()/100000</f>
        <v>7.00025</v>
      </c>
    </row>
    <row r="26" customFormat="false" ht="15" hidden="false" customHeight="false" outlineLevel="0" collapsed="false">
      <c r="A26" s="10" t="s">
        <v>220</v>
      </c>
      <c r="B26" s="10" t="s">
        <v>221</v>
      </c>
      <c r="C26" s="10" t="s">
        <v>222</v>
      </c>
      <c r="D26" s="10" t="n">
        <v>8</v>
      </c>
      <c r="E26" s="10" t="s">
        <v>223</v>
      </c>
      <c r="F26" s="10" t="s">
        <v>224</v>
      </c>
      <c r="G26" s="10" t="n">
        <v>4</v>
      </c>
      <c r="H26" s="10" t="n">
        <v>20</v>
      </c>
      <c r="I26" s="10" t="n">
        <v>20</v>
      </c>
      <c r="J26" s="10" t="s">
        <v>225</v>
      </c>
      <c r="K26" s="10"/>
      <c r="L26" s="10" t="n">
        <v>96.1</v>
      </c>
      <c r="M26" s="19" t="n">
        <f aca="false">D26+ROW()/100000</f>
        <v>8.00026</v>
      </c>
    </row>
    <row r="27" customFormat="false" ht="15" hidden="false" customHeight="false" outlineLevel="0" collapsed="false">
      <c r="A27" s="10" t="s">
        <v>226</v>
      </c>
      <c r="B27" s="10" t="s">
        <v>227</v>
      </c>
      <c r="C27" s="10" t="s">
        <v>228</v>
      </c>
      <c r="D27" s="10" t="n">
        <v>17</v>
      </c>
      <c r="E27" s="10" t="s">
        <v>229</v>
      </c>
      <c r="F27" s="10" t="s">
        <v>230</v>
      </c>
      <c r="G27" s="10" t="n">
        <v>6</v>
      </c>
      <c r="H27" s="10" t="n">
        <v>20</v>
      </c>
      <c r="I27" s="10" t="n">
        <v>20</v>
      </c>
      <c r="J27" s="10" t="s">
        <v>231</v>
      </c>
      <c r="K27" s="10" t="s">
        <v>232</v>
      </c>
      <c r="L27" s="10" t="n">
        <v>95.8</v>
      </c>
      <c r="M27" s="19" t="n">
        <f aca="false">D27+ROW()/100000</f>
        <v>17.00027</v>
      </c>
    </row>
    <row r="28" customFormat="false" ht="15" hidden="false" customHeight="false" outlineLevel="0" collapsed="false">
      <c r="A28" s="10" t="s">
        <v>233</v>
      </c>
      <c r="B28" s="10" t="s">
        <v>234</v>
      </c>
      <c r="C28" s="10" t="s">
        <v>235</v>
      </c>
      <c r="D28" s="10" t="n">
        <v>22</v>
      </c>
      <c r="E28" s="10" t="s">
        <v>236</v>
      </c>
      <c r="F28" s="10" t="s">
        <v>237</v>
      </c>
      <c r="G28" s="10" t="n">
        <v>6</v>
      </c>
      <c r="H28" s="10" t="n">
        <v>20</v>
      </c>
      <c r="I28" s="10" t="n">
        <v>20</v>
      </c>
      <c r="J28" s="10" t="s">
        <v>238</v>
      </c>
      <c r="K28" s="10" t="s">
        <v>239</v>
      </c>
      <c r="L28" s="10" t="n">
        <v>94.8</v>
      </c>
      <c r="M28" s="19" t="n">
        <f aca="false">D28+ROW()/100000</f>
        <v>22.00028</v>
      </c>
    </row>
    <row r="29" customFormat="false" ht="15" hidden="false" customHeight="false" outlineLevel="0" collapsed="false">
      <c r="A29" s="10" t="s">
        <v>240</v>
      </c>
      <c r="B29" s="10" t="s">
        <v>241</v>
      </c>
      <c r="C29" s="10" t="s">
        <v>242</v>
      </c>
      <c r="D29" s="10" t="n">
        <v>11</v>
      </c>
      <c r="E29" s="10" t="s">
        <v>243</v>
      </c>
      <c r="F29" s="10" t="s">
        <v>244</v>
      </c>
      <c r="G29" s="10" t="n">
        <v>6</v>
      </c>
      <c r="H29" s="10" t="n">
        <v>20</v>
      </c>
      <c r="I29" s="10" t="n">
        <v>20</v>
      </c>
      <c r="J29" s="10" t="s">
        <v>245</v>
      </c>
      <c r="K29" s="10" t="s">
        <v>246</v>
      </c>
      <c r="L29" s="10" t="n">
        <v>94.3</v>
      </c>
      <c r="M29" s="19" t="n">
        <f aca="false">D29+ROW()/100000</f>
        <v>11.00029</v>
      </c>
    </row>
    <row r="30" customFormat="false" ht="15" hidden="false" customHeight="false" outlineLevel="0" collapsed="false">
      <c r="A30" s="10" t="s">
        <v>247</v>
      </c>
      <c r="B30" s="10" t="s">
        <v>248</v>
      </c>
      <c r="C30" s="10" t="s">
        <v>249</v>
      </c>
      <c r="D30" s="10" t="n">
        <v>6</v>
      </c>
      <c r="E30" s="10" t="s">
        <v>250</v>
      </c>
      <c r="F30" s="10" t="s">
        <v>251</v>
      </c>
      <c r="G30" s="10" t="n">
        <v>3</v>
      </c>
      <c r="H30" s="10" t="n">
        <v>20</v>
      </c>
      <c r="I30" s="10" t="n">
        <v>20</v>
      </c>
      <c r="J30" s="10" t="s">
        <v>252</v>
      </c>
      <c r="K30" s="10" t="s">
        <v>253</v>
      </c>
      <c r="L30" s="10" t="n">
        <v>94.2</v>
      </c>
      <c r="M30" s="19" t="n">
        <f aca="false">D30+ROW()/100000</f>
        <v>6.0003</v>
      </c>
    </row>
    <row r="31" customFormat="false" ht="15" hidden="false" customHeight="false" outlineLevel="0" collapsed="false">
      <c r="A31" s="10" t="s">
        <v>254</v>
      </c>
      <c r="B31" s="10" t="s">
        <v>255</v>
      </c>
      <c r="C31" s="10" t="s">
        <v>256</v>
      </c>
      <c r="D31" s="10" t="n">
        <v>18</v>
      </c>
      <c r="E31" s="10" t="s">
        <v>164</v>
      </c>
      <c r="F31" s="10" t="s">
        <v>165</v>
      </c>
      <c r="G31" s="10" t="n">
        <v>6</v>
      </c>
      <c r="H31" s="10" t="n">
        <v>20</v>
      </c>
      <c r="I31" s="10" t="n">
        <v>20</v>
      </c>
      <c r="J31" s="10" t="s">
        <v>257</v>
      </c>
      <c r="K31" s="10"/>
      <c r="L31" s="10" t="n">
        <v>96.5</v>
      </c>
      <c r="M31" s="19" t="n">
        <f aca="false">D31+ROW()/100000</f>
        <v>18.00031</v>
      </c>
    </row>
    <row r="32" customFormat="false" ht="15" hidden="false" customHeight="false" outlineLevel="0" collapsed="false">
      <c r="A32" s="10" t="s">
        <v>258</v>
      </c>
      <c r="B32" s="10" t="s">
        <v>259</v>
      </c>
      <c r="C32" s="10" t="s">
        <v>260</v>
      </c>
      <c r="D32" s="10" t="n">
        <v>35</v>
      </c>
      <c r="E32" s="10" t="s">
        <v>261</v>
      </c>
      <c r="F32" s="10" t="s">
        <v>262</v>
      </c>
      <c r="G32" s="10" t="n">
        <v>6</v>
      </c>
      <c r="H32" s="10" t="n">
        <v>20</v>
      </c>
      <c r="I32" s="10" t="n">
        <v>20</v>
      </c>
      <c r="J32" s="10" t="s">
        <v>263</v>
      </c>
      <c r="K32" s="10" t="s">
        <v>264</v>
      </c>
      <c r="L32" s="10" t="n">
        <v>96.3</v>
      </c>
      <c r="M32" s="19" t="n">
        <f aca="false">D32+ROW()/100000</f>
        <v>35.00032</v>
      </c>
    </row>
    <row r="33" customFormat="false" ht="15" hidden="false" customHeight="false" outlineLevel="0" collapsed="false">
      <c r="A33" s="10" t="s">
        <v>265</v>
      </c>
      <c r="B33" s="10" t="s">
        <v>266</v>
      </c>
      <c r="C33" s="10" t="s">
        <v>267</v>
      </c>
      <c r="D33" s="10" t="n">
        <v>8</v>
      </c>
      <c r="E33" s="10" t="s">
        <v>268</v>
      </c>
      <c r="F33" s="10" t="s">
        <v>269</v>
      </c>
      <c r="G33" s="10" t="n">
        <v>4</v>
      </c>
      <c r="H33" s="10" t="n">
        <v>20</v>
      </c>
      <c r="I33" s="10" t="n">
        <v>20</v>
      </c>
      <c r="J33" s="10" t="s">
        <v>270</v>
      </c>
      <c r="K33" s="10"/>
      <c r="L33" s="10" t="n">
        <v>95.3</v>
      </c>
      <c r="M33" s="19" t="n">
        <f aca="false">D33+ROW()/100000</f>
        <v>8.00033</v>
      </c>
    </row>
    <row r="34" customFormat="false" ht="15" hidden="false" customHeight="false" outlineLevel="0" collapsed="false">
      <c r="A34" s="10" t="s">
        <v>271</v>
      </c>
      <c r="B34" s="10" t="s">
        <v>272</v>
      </c>
      <c r="C34" s="10" t="s">
        <v>222</v>
      </c>
      <c r="D34" s="10" t="n">
        <v>8</v>
      </c>
      <c r="E34" s="10" t="s">
        <v>113</v>
      </c>
      <c r="F34" s="10" t="s">
        <v>273</v>
      </c>
      <c r="G34" s="10" t="n">
        <v>4</v>
      </c>
      <c r="H34" s="10" t="n">
        <v>20</v>
      </c>
      <c r="I34" s="10" t="n">
        <v>20</v>
      </c>
      <c r="J34" s="10" t="s">
        <v>274</v>
      </c>
      <c r="K34" s="10" t="s">
        <v>275</v>
      </c>
      <c r="L34" s="10" t="n">
        <v>94.9</v>
      </c>
      <c r="M34" s="19" t="n">
        <f aca="false">D34+ROW()/100000</f>
        <v>8.00034</v>
      </c>
    </row>
    <row r="35" customFormat="false" ht="15" hidden="false" customHeight="false" outlineLevel="0" collapsed="false">
      <c r="A35" s="10" t="s">
        <v>276</v>
      </c>
      <c r="B35" s="10" t="s">
        <v>277</v>
      </c>
      <c r="C35" s="10" t="s">
        <v>278</v>
      </c>
      <c r="D35" s="10" t="n">
        <v>8</v>
      </c>
      <c r="E35" s="10" t="s">
        <v>279</v>
      </c>
      <c r="F35" s="10" t="s">
        <v>280</v>
      </c>
      <c r="G35" s="10" t="n">
        <v>4</v>
      </c>
      <c r="H35" s="10" t="n">
        <v>20</v>
      </c>
      <c r="I35" s="10" t="n">
        <v>20</v>
      </c>
      <c r="J35" s="10" t="s">
        <v>281</v>
      </c>
      <c r="K35" s="10"/>
      <c r="L35" s="10" t="n">
        <v>96.5</v>
      </c>
      <c r="M35" s="19" t="n">
        <f aca="false">D35+ROW()/100000</f>
        <v>8.00035</v>
      </c>
    </row>
    <row r="36" customFormat="false" ht="15" hidden="false" customHeight="false" outlineLevel="0" collapsed="false">
      <c r="A36" s="10" t="s">
        <v>282</v>
      </c>
      <c r="B36" s="10" t="s">
        <v>283</v>
      </c>
      <c r="C36" s="10" t="s">
        <v>222</v>
      </c>
      <c r="D36" s="10" t="n">
        <v>8</v>
      </c>
      <c r="E36" s="10" t="s">
        <v>284</v>
      </c>
      <c r="F36" s="10" t="s">
        <v>285</v>
      </c>
      <c r="G36" s="10" t="n">
        <v>4</v>
      </c>
      <c r="H36" s="10" t="n">
        <v>20</v>
      </c>
      <c r="I36" s="10" t="n">
        <v>20</v>
      </c>
      <c r="J36" s="10" t="s">
        <v>95</v>
      </c>
      <c r="K36" s="10"/>
      <c r="L36" s="10" t="n">
        <v>95.6</v>
      </c>
      <c r="M36" s="19" t="n">
        <f aca="false">D36+ROW()/100000</f>
        <v>8.00036</v>
      </c>
    </row>
    <row r="37" customFormat="false" ht="15" hidden="false" customHeight="false" outlineLevel="0" collapsed="false">
      <c r="A37" s="10" t="s">
        <v>286</v>
      </c>
      <c r="B37" s="10" t="s">
        <v>287</v>
      </c>
      <c r="C37" s="10" t="s">
        <v>288</v>
      </c>
      <c r="D37" s="10" t="n">
        <v>8</v>
      </c>
      <c r="E37" s="10" t="s">
        <v>289</v>
      </c>
      <c r="F37" s="10" t="s">
        <v>290</v>
      </c>
      <c r="G37" s="10" t="n">
        <v>4</v>
      </c>
      <c r="H37" s="10" t="n">
        <v>20</v>
      </c>
      <c r="I37" s="10" t="n">
        <v>20</v>
      </c>
      <c r="J37" s="10" t="s">
        <v>95</v>
      </c>
      <c r="K37" s="10"/>
      <c r="L37" s="10" t="n">
        <v>95.1</v>
      </c>
      <c r="M37" s="19" t="n">
        <f aca="false">D37+ROW()/100000</f>
        <v>8.00037</v>
      </c>
    </row>
    <row r="38" customFormat="false" ht="15" hidden="false" customHeight="false" outlineLevel="0" collapsed="false">
      <c r="A38" s="10" t="s">
        <v>291</v>
      </c>
      <c r="B38" s="10" t="s">
        <v>292</v>
      </c>
      <c r="C38" s="10" t="s">
        <v>288</v>
      </c>
      <c r="D38" s="10" t="n">
        <v>8</v>
      </c>
      <c r="E38" s="10" t="s">
        <v>293</v>
      </c>
      <c r="F38" s="10" t="s">
        <v>294</v>
      </c>
      <c r="G38" s="10" t="n">
        <v>4</v>
      </c>
      <c r="H38" s="10" t="n">
        <v>20</v>
      </c>
      <c r="I38" s="10" t="n">
        <v>20</v>
      </c>
      <c r="J38" s="10" t="s">
        <v>281</v>
      </c>
      <c r="K38" s="10"/>
      <c r="L38" s="10" t="n">
        <v>96.6</v>
      </c>
      <c r="M38" s="19" t="n">
        <f aca="false">D38+ROW()/100000</f>
        <v>8.00038</v>
      </c>
    </row>
    <row r="39" customFormat="false" ht="15" hidden="false" customHeight="false" outlineLevel="0" collapsed="false">
      <c r="A39" s="10" t="s">
        <v>295</v>
      </c>
      <c r="B39" s="10" t="s">
        <v>296</v>
      </c>
      <c r="C39" s="10" t="s">
        <v>222</v>
      </c>
      <c r="D39" s="10" t="n">
        <v>8</v>
      </c>
      <c r="E39" s="10" t="s">
        <v>297</v>
      </c>
      <c r="F39" s="10" t="s">
        <v>298</v>
      </c>
      <c r="G39" s="10" t="n">
        <v>4</v>
      </c>
      <c r="H39" s="10" t="n">
        <v>20</v>
      </c>
      <c r="I39" s="10" t="n">
        <v>20</v>
      </c>
      <c r="J39" s="10" t="s">
        <v>225</v>
      </c>
      <c r="K39" s="10"/>
      <c r="L39" s="10" t="n">
        <v>96.1</v>
      </c>
      <c r="M39" s="19" t="n">
        <f aca="false">D39+ROW()/100000</f>
        <v>8.00039</v>
      </c>
    </row>
    <row r="40" customFormat="false" ht="15" hidden="false" customHeight="false" outlineLevel="0" collapsed="false">
      <c r="A40" s="10" t="s">
        <v>299</v>
      </c>
      <c r="B40" s="10" t="s">
        <v>300</v>
      </c>
      <c r="C40" s="10" t="s">
        <v>301</v>
      </c>
      <c r="D40" s="10" t="n">
        <v>8</v>
      </c>
      <c r="E40" s="10" t="s">
        <v>302</v>
      </c>
      <c r="F40" s="10" t="s">
        <v>303</v>
      </c>
      <c r="G40" s="10" t="n">
        <v>4</v>
      </c>
      <c r="H40" s="10" t="n">
        <v>20</v>
      </c>
      <c r="I40" s="10" t="n">
        <v>20</v>
      </c>
      <c r="J40" s="10" t="s">
        <v>177</v>
      </c>
      <c r="K40" s="10"/>
      <c r="L40" s="10" t="n">
        <v>96</v>
      </c>
      <c r="M40" s="19" t="n">
        <f aca="false">D40+ROW()/100000</f>
        <v>8.0004</v>
      </c>
    </row>
    <row r="41" customFormat="false" ht="15" hidden="false" customHeight="false" outlineLevel="0" collapsed="false">
      <c r="A41" s="10" t="s">
        <v>304</v>
      </c>
      <c r="B41" s="10" t="s">
        <v>305</v>
      </c>
      <c r="C41" s="10" t="s">
        <v>222</v>
      </c>
      <c r="D41" s="10" t="n">
        <v>8</v>
      </c>
      <c r="E41" s="10" t="s">
        <v>306</v>
      </c>
      <c r="F41" s="10" t="s">
        <v>307</v>
      </c>
      <c r="G41" s="10" t="n">
        <v>4</v>
      </c>
      <c r="H41" s="10" t="n">
        <v>20</v>
      </c>
      <c r="I41" s="10" t="n">
        <v>20</v>
      </c>
      <c r="J41" s="10" t="s">
        <v>172</v>
      </c>
      <c r="K41" s="10"/>
      <c r="L41" s="10" t="n">
        <v>96</v>
      </c>
      <c r="M41" s="19" t="n">
        <f aca="false">D41+ROW()/100000</f>
        <v>8.00041</v>
      </c>
    </row>
    <row r="42" customFormat="false" ht="15" hidden="false" customHeight="false" outlineLevel="0" collapsed="false">
      <c r="A42" s="10" t="s">
        <v>308</v>
      </c>
      <c r="B42" s="10" t="s">
        <v>309</v>
      </c>
      <c r="C42" s="10" t="s">
        <v>310</v>
      </c>
      <c r="D42" s="10" t="n">
        <v>8</v>
      </c>
      <c r="E42" s="10" t="s">
        <v>311</v>
      </c>
      <c r="F42" s="10" t="s">
        <v>312</v>
      </c>
      <c r="G42" s="10" t="n">
        <v>4</v>
      </c>
      <c r="H42" s="10" t="n">
        <v>20</v>
      </c>
      <c r="I42" s="10" t="n">
        <v>20</v>
      </c>
      <c r="J42" s="10" t="s">
        <v>313</v>
      </c>
      <c r="K42" s="10" t="s">
        <v>102</v>
      </c>
      <c r="L42" s="10" t="n">
        <v>97</v>
      </c>
      <c r="M42" s="19" t="n">
        <f aca="false">D42+ROW()/100000</f>
        <v>8.00042</v>
      </c>
    </row>
    <row r="43" customFormat="false" ht="15" hidden="false" customHeight="false" outlineLevel="0" collapsed="false">
      <c r="A43" s="10" t="s">
        <v>314</v>
      </c>
      <c r="B43" s="10" t="s">
        <v>315</v>
      </c>
      <c r="C43" s="10" t="s">
        <v>267</v>
      </c>
      <c r="D43" s="10" t="n">
        <v>8</v>
      </c>
      <c r="E43" s="10" t="s">
        <v>316</v>
      </c>
      <c r="F43" s="10" t="s">
        <v>317</v>
      </c>
      <c r="G43" s="10" t="n">
        <v>4</v>
      </c>
      <c r="H43" s="10" t="n">
        <v>20</v>
      </c>
      <c r="I43" s="10" t="n">
        <v>20</v>
      </c>
      <c r="J43" s="10" t="s">
        <v>318</v>
      </c>
      <c r="K43" s="10"/>
      <c r="L43" s="10" t="n">
        <v>95.4</v>
      </c>
      <c r="M43" s="19" t="n">
        <f aca="false">D43+ROW()/100000</f>
        <v>8.00043</v>
      </c>
    </row>
    <row r="44" customFormat="false" ht="15" hidden="false" customHeight="false" outlineLevel="0" collapsed="false">
      <c r="A44" s="10" t="s">
        <v>319</v>
      </c>
      <c r="B44" s="10" t="s">
        <v>320</v>
      </c>
      <c r="C44" s="10" t="s">
        <v>321</v>
      </c>
      <c r="D44" s="10" t="n">
        <v>8</v>
      </c>
      <c r="E44" s="10" t="s">
        <v>322</v>
      </c>
      <c r="F44" s="10" t="s">
        <v>323</v>
      </c>
      <c r="G44" s="10" t="n">
        <v>4</v>
      </c>
      <c r="H44" s="10" t="n">
        <v>20</v>
      </c>
      <c r="I44" s="10" t="n">
        <v>20</v>
      </c>
      <c r="J44" s="10" t="s">
        <v>324</v>
      </c>
      <c r="K44" s="10"/>
      <c r="L44" s="10" t="n">
        <v>95.6</v>
      </c>
      <c r="M44" s="19" t="n">
        <f aca="false">D44+ROW()/100000</f>
        <v>8.00044</v>
      </c>
    </row>
    <row r="45" customFormat="false" ht="15" hidden="false" customHeight="false" outlineLevel="0" collapsed="false">
      <c r="A45" s="10" t="s">
        <v>325</v>
      </c>
      <c r="B45" s="10" t="s">
        <v>326</v>
      </c>
      <c r="C45" s="10" t="s">
        <v>327</v>
      </c>
      <c r="D45" s="10" t="n">
        <v>8</v>
      </c>
      <c r="E45" s="10" t="s">
        <v>328</v>
      </c>
      <c r="F45" s="10" t="s">
        <v>329</v>
      </c>
      <c r="G45" s="10" t="n">
        <v>4</v>
      </c>
      <c r="H45" s="10" t="n">
        <v>20</v>
      </c>
      <c r="I45" s="10" t="n">
        <v>20</v>
      </c>
      <c r="J45" s="10" t="s">
        <v>330</v>
      </c>
      <c r="K45" s="10"/>
      <c r="L45" s="10" t="n">
        <v>96.6</v>
      </c>
      <c r="M45" s="19" t="n">
        <f aca="false">D45+ROW()/100000</f>
        <v>8.00045</v>
      </c>
    </row>
    <row r="46" customFormat="false" ht="15" hidden="false" customHeight="false" outlineLevel="0" collapsed="false">
      <c r="A46" s="10" t="s">
        <v>331</v>
      </c>
      <c r="B46" s="10" t="s">
        <v>332</v>
      </c>
      <c r="C46" s="10" t="s">
        <v>333</v>
      </c>
      <c r="D46" s="10" t="n">
        <v>12</v>
      </c>
      <c r="E46" s="10" t="s">
        <v>334</v>
      </c>
      <c r="F46" s="10" t="s">
        <v>335</v>
      </c>
      <c r="G46" s="10" t="n">
        <v>6</v>
      </c>
      <c r="H46" s="10" t="n">
        <v>20</v>
      </c>
      <c r="I46" s="10" t="n">
        <v>20</v>
      </c>
      <c r="J46" s="10" t="s">
        <v>336</v>
      </c>
      <c r="K46" s="10"/>
      <c r="L46" s="10" t="n">
        <v>94.3</v>
      </c>
      <c r="M46" s="19" t="n">
        <f aca="false">D46+ROW()/100000</f>
        <v>12.00046</v>
      </c>
    </row>
    <row r="47" customFormat="false" ht="15" hidden="false" customHeight="false" outlineLevel="0" collapsed="false">
      <c r="A47" s="10" t="s">
        <v>51</v>
      </c>
      <c r="B47" s="10" t="s">
        <v>337</v>
      </c>
      <c r="C47" s="10" t="s">
        <v>338</v>
      </c>
      <c r="D47" s="10" t="n">
        <v>40</v>
      </c>
      <c r="E47" s="10" t="s">
        <v>339</v>
      </c>
      <c r="F47" s="10" t="s">
        <v>182</v>
      </c>
      <c r="G47" s="10" t="n">
        <v>6</v>
      </c>
      <c r="H47" s="10" t="n">
        <v>20</v>
      </c>
      <c r="I47" s="10" t="n">
        <v>20</v>
      </c>
      <c r="J47" s="10" t="s">
        <v>108</v>
      </c>
      <c r="K47" s="10"/>
      <c r="L47" s="10" t="n">
        <v>95.7</v>
      </c>
      <c r="M47" s="19" t="n">
        <f aca="false">D47+ROW()/100000</f>
        <v>40.00047</v>
      </c>
    </row>
    <row r="48" customFormat="false" ht="15" hidden="false" customHeight="false" outlineLevel="0" collapsed="false">
      <c r="A48" s="10" t="s">
        <v>340</v>
      </c>
      <c r="B48" s="10" t="s">
        <v>341</v>
      </c>
      <c r="C48" s="10" t="s">
        <v>342</v>
      </c>
      <c r="D48" s="10" t="n">
        <v>8</v>
      </c>
      <c r="E48" s="10" t="s">
        <v>343</v>
      </c>
      <c r="F48" s="10" t="s">
        <v>344</v>
      </c>
      <c r="G48" s="10" t="n">
        <v>4</v>
      </c>
      <c r="H48" s="10" t="n">
        <v>20</v>
      </c>
      <c r="I48" s="10" t="n">
        <v>20</v>
      </c>
      <c r="J48" s="10" t="s">
        <v>151</v>
      </c>
      <c r="K48" s="10"/>
      <c r="L48" s="10" t="n">
        <v>93.1</v>
      </c>
      <c r="M48" s="19" t="n">
        <f aca="false">D48+ROW()/100000</f>
        <v>8.00048</v>
      </c>
    </row>
    <row r="49" customFormat="false" ht="15" hidden="false" customHeight="false" outlineLevel="0" collapsed="false">
      <c r="A49" s="10" t="s">
        <v>345</v>
      </c>
      <c r="B49" s="10" t="s">
        <v>346</v>
      </c>
      <c r="C49" s="10" t="s">
        <v>267</v>
      </c>
      <c r="D49" s="10" t="n">
        <v>8</v>
      </c>
      <c r="E49" s="10" t="s">
        <v>347</v>
      </c>
      <c r="F49" s="10" t="s">
        <v>348</v>
      </c>
      <c r="G49" s="10" t="n">
        <v>4</v>
      </c>
      <c r="H49" s="10" t="n">
        <v>20</v>
      </c>
      <c r="I49" s="10" t="n">
        <v>20</v>
      </c>
      <c r="J49" s="10" t="s">
        <v>349</v>
      </c>
      <c r="K49" s="10"/>
      <c r="L49" s="10" t="n">
        <v>94.9</v>
      </c>
      <c r="M49" s="19" t="n">
        <f aca="false">D49+ROW()/100000</f>
        <v>8.00049</v>
      </c>
    </row>
    <row r="50" customFormat="false" ht="15" hidden="false" customHeight="false" outlineLevel="0" collapsed="false">
      <c r="A50" s="10" t="s">
        <v>350</v>
      </c>
      <c r="B50" s="10" t="s">
        <v>351</v>
      </c>
      <c r="C50" s="10" t="s">
        <v>321</v>
      </c>
      <c r="D50" s="10" t="n">
        <v>8</v>
      </c>
      <c r="E50" s="10" t="s">
        <v>352</v>
      </c>
      <c r="F50" s="10" t="s">
        <v>353</v>
      </c>
      <c r="G50" s="10" t="n">
        <v>4</v>
      </c>
      <c r="H50" s="10" t="n">
        <v>20</v>
      </c>
      <c r="I50" s="10" t="n">
        <v>20</v>
      </c>
      <c r="J50" s="10" t="s">
        <v>281</v>
      </c>
      <c r="K50" s="10"/>
      <c r="L50" s="10" t="n">
        <v>95.1</v>
      </c>
      <c r="M50" s="19" t="n">
        <f aca="false">D50+ROW()/100000</f>
        <v>8.0005</v>
      </c>
    </row>
    <row r="51" customFormat="false" ht="15" hidden="false" customHeight="false" outlineLevel="0" collapsed="false">
      <c r="A51" s="10" t="s">
        <v>354</v>
      </c>
      <c r="B51" s="10" t="s">
        <v>355</v>
      </c>
      <c r="C51" s="10" t="s">
        <v>356</v>
      </c>
      <c r="D51" s="10" t="n">
        <v>8</v>
      </c>
      <c r="E51" s="10" t="s">
        <v>357</v>
      </c>
      <c r="F51" s="10" t="s">
        <v>358</v>
      </c>
      <c r="G51" s="10" t="n">
        <v>4</v>
      </c>
      <c r="H51" s="10" t="n">
        <v>20</v>
      </c>
      <c r="I51" s="10" t="n">
        <v>20</v>
      </c>
      <c r="J51" s="10" t="s">
        <v>195</v>
      </c>
      <c r="K51" s="10"/>
      <c r="L51" s="10" t="n">
        <v>96.8</v>
      </c>
      <c r="M51" s="19" t="n">
        <f aca="false">D51+ROW()/100000</f>
        <v>8.00051</v>
      </c>
    </row>
    <row r="52" customFormat="false" ht="15" hidden="false" customHeight="false" outlineLevel="0" collapsed="false">
      <c r="A52" s="10" t="s">
        <v>359</v>
      </c>
      <c r="B52" s="10" t="s">
        <v>360</v>
      </c>
      <c r="C52" s="10" t="s">
        <v>361</v>
      </c>
      <c r="D52" s="10" t="n">
        <v>8</v>
      </c>
      <c r="E52" s="10" t="s">
        <v>362</v>
      </c>
      <c r="F52" s="10" t="s">
        <v>363</v>
      </c>
      <c r="G52" s="10" t="n">
        <v>4</v>
      </c>
      <c r="H52" s="10" t="n">
        <v>20</v>
      </c>
      <c r="I52" s="10" t="n">
        <v>20</v>
      </c>
      <c r="J52" s="10" t="s">
        <v>349</v>
      </c>
      <c r="K52" s="10"/>
      <c r="L52" s="10" t="n">
        <v>96.1</v>
      </c>
      <c r="M52" s="19" t="n">
        <f aca="false">D52+ROW()/100000</f>
        <v>8.00052</v>
      </c>
    </row>
    <row r="53" customFormat="false" ht="15" hidden="false" customHeight="false" outlineLevel="0" collapsed="false">
      <c r="A53" s="10" t="s">
        <v>364</v>
      </c>
      <c r="B53" s="10" t="s">
        <v>365</v>
      </c>
      <c r="C53" s="10" t="s">
        <v>366</v>
      </c>
      <c r="D53" s="10" t="n">
        <v>8</v>
      </c>
      <c r="E53" s="10" t="s">
        <v>367</v>
      </c>
      <c r="F53" s="10" t="s">
        <v>368</v>
      </c>
      <c r="G53" s="10" t="n">
        <v>4</v>
      </c>
      <c r="H53" s="10" t="n">
        <v>20</v>
      </c>
      <c r="I53" s="10" t="n">
        <v>20</v>
      </c>
      <c r="J53" s="10" t="s">
        <v>369</v>
      </c>
      <c r="K53" s="10"/>
      <c r="L53" s="10" t="n">
        <v>95.8</v>
      </c>
      <c r="M53" s="19" t="n">
        <f aca="false">D53+ROW()/100000</f>
        <v>8.00053</v>
      </c>
    </row>
    <row r="54" customFormat="false" ht="15" hidden="false" customHeight="false" outlineLevel="0" collapsed="false">
      <c r="A54" s="10" t="s">
        <v>370</v>
      </c>
      <c r="B54" s="10" t="s">
        <v>371</v>
      </c>
      <c r="C54" s="10" t="s">
        <v>372</v>
      </c>
      <c r="D54" s="10" t="n">
        <v>8</v>
      </c>
      <c r="E54" s="10" t="s">
        <v>373</v>
      </c>
      <c r="F54" s="10" t="s">
        <v>374</v>
      </c>
      <c r="G54" s="10" t="n">
        <v>4</v>
      </c>
      <c r="H54" s="10" t="n">
        <v>20</v>
      </c>
      <c r="I54" s="10" t="n">
        <v>20</v>
      </c>
      <c r="J54" s="10" t="s">
        <v>375</v>
      </c>
      <c r="K54" s="10" t="s">
        <v>376</v>
      </c>
      <c r="L54" s="10" t="n">
        <v>97.3</v>
      </c>
      <c r="M54" s="19" t="n">
        <f aca="false">D54+ROW()/100000</f>
        <v>8.00054</v>
      </c>
    </row>
    <row r="55" customFormat="false" ht="15" hidden="false" customHeight="false" outlineLevel="0" collapsed="false">
      <c r="A55" s="10" t="s">
        <v>377</v>
      </c>
      <c r="B55" s="10" t="s">
        <v>378</v>
      </c>
      <c r="C55" s="10" t="s">
        <v>366</v>
      </c>
      <c r="D55" s="10" t="n">
        <v>8</v>
      </c>
      <c r="E55" s="10" t="s">
        <v>379</v>
      </c>
      <c r="F55" s="10" t="s">
        <v>380</v>
      </c>
      <c r="G55" s="10" t="n">
        <v>4</v>
      </c>
      <c r="H55" s="10" t="n">
        <v>20</v>
      </c>
      <c r="I55" s="10" t="n">
        <v>20</v>
      </c>
      <c r="J55" s="10" t="s">
        <v>375</v>
      </c>
      <c r="K55" s="10" t="s">
        <v>381</v>
      </c>
      <c r="L55" s="10" t="n">
        <v>95.4</v>
      </c>
      <c r="M55" s="19" t="n">
        <f aca="false">D55+ROW()/100000</f>
        <v>8.00055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8" t="s">
        <v>64</v>
      </c>
      <c r="B1" s="18" t="s">
        <v>382</v>
      </c>
      <c r="C1" s="18" t="s">
        <v>383</v>
      </c>
      <c r="D1" s="18" t="s">
        <v>384</v>
      </c>
      <c r="E1" s="18" t="s">
        <v>385</v>
      </c>
      <c r="F1" s="18" t="s">
        <v>386</v>
      </c>
      <c r="G1" s="18" t="s">
        <v>387</v>
      </c>
      <c r="H1" s="18" t="s">
        <v>388</v>
      </c>
      <c r="I1" s="18" t="s">
        <v>389</v>
      </c>
      <c r="J1" s="18" t="s">
        <v>390</v>
      </c>
      <c r="K1" s="18" t="s">
        <v>391</v>
      </c>
      <c r="L1" s="18" t="s">
        <v>392</v>
      </c>
      <c r="M1" s="18" t="s">
        <v>393</v>
      </c>
    </row>
    <row r="2" customFormat="false" ht="15" hidden="false" customHeight="false" outlineLevel="0" collapsed="false">
      <c r="A2" s="10" t="s">
        <v>394</v>
      </c>
      <c r="B2" s="10" t="s">
        <v>395</v>
      </c>
      <c r="C2" s="10" t="s">
        <v>396</v>
      </c>
      <c r="D2" s="10" t="s">
        <v>397</v>
      </c>
      <c r="E2" s="10" t="s">
        <v>96</v>
      </c>
      <c r="F2" s="10" t="n">
        <v>12</v>
      </c>
      <c r="G2" s="10" t="s">
        <v>398</v>
      </c>
      <c r="H2" s="10" t="n">
        <v>5</v>
      </c>
      <c r="I2" s="10" t="n">
        <v>0</v>
      </c>
      <c r="J2" s="10" t="n">
        <v>4</v>
      </c>
      <c r="K2" s="10" t="n">
        <v>90</v>
      </c>
      <c r="L2" s="10" t="n">
        <v>75</v>
      </c>
      <c r="M2" s="10" t="n">
        <v>113</v>
      </c>
    </row>
    <row r="3" customFormat="false" ht="15" hidden="false" customHeight="false" outlineLevel="0" collapsed="false">
      <c r="A3" s="10" t="s">
        <v>399</v>
      </c>
      <c r="B3" s="10" t="s">
        <v>395</v>
      </c>
      <c r="C3" s="10" t="s">
        <v>400</v>
      </c>
      <c r="D3" s="10" t="s">
        <v>401</v>
      </c>
      <c r="E3" s="10" t="s">
        <v>196</v>
      </c>
      <c r="F3" s="10" t="n">
        <v>14</v>
      </c>
      <c r="G3" s="10" t="s">
        <v>402</v>
      </c>
      <c r="H3" s="10" t="n">
        <v>4</v>
      </c>
      <c r="I3" s="10" t="n">
        <v>2</v>
      </c>
      <c r="J3" s="10" t="n">
        <v>4</v>
      </c>
      <c r="K3" s="10" t="n">
        <v>97</v>
      </c>
      <c r="L3" s="10" t="n">
        <v>100</v>
      </c>
      <c r="M3" s="10" t="n">
        <v>183</v>
      </c>
    </row>
    <row r="4" customFormat="false" ht="15" hidden="false" customHeight="false" outlineLevel="0" collapsed="false">
      <c r="A4" s="10" t="s">
        <v>403</v>
      </c>
      <c r="B4" s="10" t="s">
        <v>395</v>
      </c>
      <c r="C4" s="10" t="s">
        <v>404</v>
      </c>
      <c r="D4" s="10" t="s">
        <v>405</v>
      </c>
      <c r="E4" s="10" t="s">
        <v>90</v>
      </c>
      <c r="F4" s="10" t="n">
        <v>12</v>
      </c>
      <c r="G4" s="10" t="s">
        <v>406</v>
      </c>
      <c r="H4" s="10" t="n">
        <v>4</v>
      </c>
      <c r="I4" s="10" t="n">
        <v>2</v>
      </c>
      <c r="J4" s="10" t="n">
        <v>5</v>
      </c>
      <c r="K4" s="10" t="n">
        <v>94</v>
      </c>
      <c r="L4" s="10" t="n">
        <v>100</v>
      </c>
      <c r="M4" s="10" t="n">
        <v>167</v>
      </c>
    </row>
    <row r="5" customFormat="false" ht="15" hidden="false" customHeight="false" outlineLevel="0" collapsed="false">
      <c r="A5" s="10" t="s">
        <v>407</v>
      </c>
      <c r="B5" s="10" t="s">
        <v>395</v>
      </c>
      <c r="C5" s="10" t="s">
        <v>408</v>
      </c>
      <c r="D5" s="10" t="s">
        <v>409</v>
      </c>
      <c r="E5" s="10"/>
      <c r="F5" s="10" t="n">
        <v>14</v>
      </c>
      <c r="G5" s="10" t="s">
        <v>410</v>
      </c>
      <c r="H5" s="10" t="n">
        <v>4</v>
      </c>
      <c r="I5" s="10" t="n">
        <v>2</v>
      </c>
      <c r="J5" s="10" t="n">
        <v>7</v>
      </c>
      <c r="K5" s="10" t="n">
        <v>95</v>
      </c>
      <c r="L5" s="10" t="n">
        <v>100</v>
      </c>
      <c r="M5" s="10" t="n">
        <v>261</v>
      </c>
    </row>
    <row r="6" customFormat="false" ht="15" hidden="false" customHeight="false" outlineLevel="0" collapsed="false">
      <c r="A6" s="10" t="s">
        <v>411</v>
      </c>
      <c r="B6" s="10" t="s">
        <v>395</v>
      </c>
      <c r="C6" s="10" t="s">
        <v>412</v>
      </c>
      <c r="D6" s="10" t="s">
        <v>413</v>
      </c>
      <c r="E6" s="10" t="s">
        <v>152</v>
      </c>
      <c r="F6" s="10" t="n">
        <v>15</v>
      </c>
      <c r="G6" s="10" t="s">
        <v>414</v>
      </c>
      <c r="H6" s="10" t="n">
        <v>4</v>
      </c>
      <c r="I6" s="10" t="n">
        <v>2</v>
      </c>
      <c r="J6" s="10" t="n">
        <v>6</v>
      </c>
      <c r="K6" s="10" t="n">
        <v>96</v>
      </c>
      <c r="L6" s="10" t="n">
        <v>100</v>
      </c>
      <c r="M6" s="10" t="n">
        <v>164</v>
      </c>
    </row>
    <row r="7" customFormat="false" ht="15" hidden="false" customHeight="false" outlineLevel="0" collapsed="false">
      <c r="A7" s="10" t="s">
        <v>415</v>
      </c>
      <c r="B7" s="10" t="s">
        <v>395</v>
      </c>
      <c r="C7" s="10" t="s">
        <v>416</v>
      </c>
      <c r="D7" s="10" t="s">
        <v>417</v>
      </c>
      <c r="E7" s="10" t="s">
        <v>418</v>
      </c>
      <c r="F7" s="10" t="n">
        <v>10</v>
      </c>
      <c r="G7" s="10" t="s">
        <v>419</v>
      </c>
      <c r="H7" s="10" t="n">
        <v>4</v>
      </c>
      <c r="I7" s="10" t="n">
        <v>2</v>
      </c>
      <c r="J7" s="10" t="n">
        <v>3</v>
      </c>
      <c r="K7" s="10" t="n">
        <v>92</v>
      </c>
      <c r="L7" s="10" t="n">
        <v>67</v>
      </c>
      <c r="M7" s="10" t="n">
        <v>208</v>
      </c>
    </row>
    <row r="8" customFormat="false" ht="15" hidden="false" customHeight="false" outlineLevel="0" collapsed="false">
      <c r="A8" s="10" t="s">
        <v>420</v>
      </c>
      <c r="B8" s="10" t="s">
        <v>395</v>
      </c>
      <c r="C8" s="10" t="s">
        <v>421</v>
      </c>
      <c r="D8" s="10" t="s">
        <v>401</v>
      </c>
      <c r="E8" s="10" t="s">
        <v>196</v>
      </c>
      <c r="F8" s="10" t="n">
        <v>13</v>
      </c>
      <c r="G8" s="10" t="s">
        <v>422</v>
      </c>
      <c r="H8" s="10" t="n">
        <v>4</v>
      </c>
      <c r="I8" s="10" t="n">
        <v>2</v>
      </c>
      <c r="J8" s="10" t="n">
        <v>3</v>
      </c>
      <c r="K8" s="10" t="n">
        <v>97</v>
      </c>
      <c r="L8" s="10" t="n">
        <v>100</v>
      </c>
      <c r="M8" s="10" t="n">
        <v>159</v>
      </c>
    </row>
    <row r="9" customFormat="false" ht="15" hidden="false" customHeight="false" outlineLevel="0" collapsed="false">
      <c r="A9" s="10" t="s">
        <v>423</v>
      </c>
      <c r="B9" s="10" t="s">
        <v>395</v>
      </c>
      <c r="C9" s="10" t="s">
        <v>424</v>
      </c>
      <c r="D9" s="10" t="s">
        <v>401</v>
      </c>
      <c r="E9" s="10" t="s">
        <v>196</v>
      </c>
      <c r="F9" s="10" t="n">
        <v>14</v>
      </c>
      <c r="G9" s="10" t="s">
        <v>425</v>
      </c>
      <c r="H9" s="10" t="n">
        <v>4</v>
      </c>
      <c r="I9" s="10" t="n">
        <v>2</v>
      </c>
      <c r="J9" s="10" t="n">
        <v>4</v>
      </c>
      <c r="K9" s="10" t="n">
        <v>93</v>
      </c>
      <c r="L9" s="10" t="n">
        <v>75</v>
      </c>
      <c r="M9" s="10" t="n">
        <v>213</v>
      </c>
    </row>
    <row r="10" customFormat="false" ht="15" hidden="false" customHeight="false" outlineLevel="0" collapsed="false">
      <c r="A10" s="10" t="s">
        <v>426</v>
      </c>
      <c r="B10" s="10" t="s">
        <v>395</v>
      </c>
      <c r="C10" s="10" t="s">
        <v>427</v>
      </c>
      <c r="D10" s="10" t="s">
        <v>428</v>
      </c>
      <c r="E10" s="10" t="s">
        <v>429</v>
      </c>
      <c r="F10" s="10" t="n">
        <v>11</v>
      </c>
      <c r="G10" s="10" t="s">
        <v>430</v>
      </c>
      <c r="H10" s="10" t="n">
        <v>4</v>
      </c>
      <c r="I10" s="10" t="n">
        <v>2</v>
      </c>
      <c r="J10" s="10" t="n">
        <v>4</v>
      </c>
      <c r="K10" s="10" t="n">
        <v>96</v>
      </c>
      <c r="L10" s="10" t="n">
        <v>100</v>
      </c>
      <c r="M10" s="10" t="n">
        <v>180</v>
      </c>
    </row>
    <row r="11" customFormat="false" ht="15" hidden="false" customHeight="false" outlineLevel="0" collapsed="false">
      <c r="A11" s="10" t="s">
        <v>431</v>
      </c>
      <c r="B11" s="10" t="s">
        <v>395</v>
      </c>
      <c r="C11" s="10" t="s">
        <v>432</v>
      </c>
      <c r="D11" s="10" t="s">
        <v>433</v>
      </c>
      <c r="E11" s="10" t="s">
        <v>191</v>
      </c>
      <c r="F11" s="10" t="n">
        <v>15</v>
      </c>
      <c r="G11" s="10" t="s">
        <v>434</v>
      </c>
      <c r="H11" s="10" t="n">
        <v>4</v>
      </c>
      <c r="I11" s="10" t="n">
        <v>2</v>
      </c>
      <c r="J11" s="10" t="n">
        <v>6</v>
      </c>
      <c r="K11" s="10" t="n">
        <v>93</v>
      </c>
      <c r="L11" s="10" t="n">
        <v>83</v>
      </c>
      <c r="M11" s="10" t="n">
        <v>166</v>
      </c>
    </row>
    <row r="12" customFormat="false" ht="15" hidden="false" customHeight="false" outlineLevel="0" collapsed="false">
      <c r="A12" s="10" t="s">
        <v>435</v>
      </c>
      <c r="B12" s="10" t="s">
        <v>395</v>
      </c>
      <c r="C12" s="10" t="s">
        <v>436</v>
      </c>
      <c r="D12" s="10" t="s">
        <v>433</v>
      </c>
      <c r="E12" s="10" t="s">
        <v>146</v>
      </c>
      <c r="F12" s="10" t="n">
        <v>12</v>
      </c>
      <c r="G12" s="10" t="s">
        <v>437</v>
      </c>
      <c r="H12" s="10" t="n">
        <v>4</v>
      </c>
      <c r="I12" s="10" t="n">
        <v>2</v>
      </c>
      <c r="J12" s="10" t="n">
        <v>8</v>
      </c>
      <c r="K12" s="10" t="n">
        <v>93</v>
      </c>
      <c r="L12" s="10" t="n">
        <v>75</v>
      </c>
      <c r="M12" s="10" t="n">
        <v>150</v>
      </c>
    </row>
    <row r="13" customFormat="false" ht="15" hidden="false" customHeight="false" outlineLevel="0" collapsed="false">
      <c r="A13" s="10" t="s">
        <v>438</v>
      </c>
      <c r="B13" s="10" t="s">
        <v>395</v>
      </c>
      <c r="C13" s="10" t="s">
        <v>439</v>
      </c>
      <c r="D13" s="10" t="s">
        <v>440</v>
      </c>
      <c r="E13" s="10" t="s">
        <v>203</v>
      </c>
      <c r="F13" s="10" t="n">
        <v>13</v>
      </c>
      <c r="G13" s="10" t="s">
        <v>441</v>
      </c>
      <c r="H13" s="10" t="n">
        <v>4</v>
      </c>
      <c r="I13" s="10" t="n">
        <v>2</v>
      </c>
      <c r="J13" s="10" t="n">
        <v>4</v>
      </c>
      <c r="K13" s="10" t="n">
        <v>97</v>
      </c>
      <c r="L13" s="10" t="n">
        <v>100</v>
      </c>
      <c r="M13" s="10" t="n">
        <v>152</v>
      </c>
    </row>
    <row r="14" customFormat="false" ht="15" hidden="false" customHeight="false" outlineLevel="0" collapsed="false">
      <c r="A14" s="10" t="s">
        <v>442</v>
      </c>
      <c r="B14" s="10" t="s">
        <v>395</v>
      </c>
      <c r="C14" s="10" t="s">
        <v>443</v>
      </c>
      <c r="D14" s="10" t="s">
        <v>413</v>
      </c>
      <c r="E14" s="10" t="s">
        <v>152</v>
      </c>
      <c r="F14" s="10" t="n">
        <v>15</v>
      </c>
      <c r="G14" s="10" t="s">
        <v>444</v>
      </c>
      <c r="H14" s="10" t="n">
        <v>4</v>
      </c>
      <c r="I14" s="10" t="n">
        <v>2</v>
      </c>
      <c r="J14" s="10" t="n">
        <v>4</v>
      </c>
      <c r="K14" s="10" t="n">
        <v>96</v>
      </c>
      <c r="L14" s="10" t="n">
        <v>100</v>
      </c>
      <c r="M14" s="10" t="n">
        <v>163</v>
      </c>
    </row>
    <row r="15" customFormat="false" ht="15" hidden="false" customHeight="false" outlineLevel="0" collapsed="false">
      <c r="A15" s="10" t="s">
        <v>445</v>
      </c>
      <c r="B15" s="10" t="s">
        <v>395</v>
      </c>
      <c r="C15" s="10" t="s">
        <v>446</v>
      </c>
      <c r="D15" s="10" t="s">
        <v>405</v>
      </c>
      <c r="E15" s="10" t="s">
        <v>226</v>
      </c>
      <c r="F15" s="10" t="n">
        <v>15</v>
      </c>
      <c r="G15" s="10" t="s">
        <v>447</v>
      </c>
      <c r="H15" s="10" t="n">
        <v>4</v>
      </c>
      <c r="I15" s="10" t="n">
        <v>2</v>
      </c>
      <c r="J15" s="10" t="n">
        <v>6</v>
      </c>
      <c r="K15" s="10" t="n">
        <v>96</v>
      </c>
      <c r="L15" s="10" t="n">
        <v>100</v>
      </c>
      <c r="M15" s="10" t="n">
        <v>217</v>
      </c>
    </row>
    <row r="16" customFormat="false" ht="15" hidden="false" customHeight="false" outlineLevel="0" collapsed="false">
      <c r="A16" s="10" t="s">
        <v>448</v>
      </c>
      <c r="B16" s="10" t="s">
        <v>395</v>
      </c>
      <c r="C16" s="10" t="s">
        <v>449</v>
      </c>
      <c r="D16" s="10" t="s">
        <v>450</v>
      </c>
      <c r="E16" s="10"/>
      <c r="F16" s="10" t="n">
        <v>16</v>
      </c>
      <c r="G16" s="10" t="s">
        <v>451</v>
      </c>
      <c r="H16" s="10" t="n">
        <v>4</v>
      </c>
      <c r="I16" s="10" t="n">
        <v>2</v>
      </c>
      <c r="J16" s="10" t="n">
        <v>9</v>
      </c>
      <c r="K16" s="10" t="n">
        <v>96</v>
      </c>
      <c r="L16" s="10" t="n">
        <v>100</v>
      </c>
      <c r="M16" s="10" t="n">
        <v>221</v>
      </c>
    </row>
    <row r="17" customFormat="false" ht="15" hidden="false" customHeight="false" outlineLevel="0" collapsed="false">
      <c r="A17" s="10" t="s">
        <v>452</v>
      </c>
      <c r="B17" s="10" t="s">
        <v>395</v>
      </c>
      <c r="C17" s="10" t="s">
        <v>453</v>
      </c>
      <c r="D17" s="10" t="s">
        <v>401</v>
      </c>
      <c r="E17" s="10" t="s">
        <v>454</v>
      </c>
      <c r="F17" s="10" t="n">
        <v>12</v>
      </c>
      <c r="G17" s="10" t="s">
        <v>455</v>
      </c>
      <c r="H17" s="10" t="n">
        <v>4</v>
      </c>
      <c r="I17" s="10" t="n">
        <v>2</v>
      </c>
      <c r="J17" s="10" t="n">
        <v>6</v>
      </c>
      <c r="K17" s="10" t="n">
        <v>98</v>
      </c>
      <c r="L17" s="10" t="n">
        <v>100</v>
      </c>
      <c r="M17" s="10" t="n">
        <v>188</v>
      </c>
    </row>
    <row r="18" customFormat="false" ht="15" hidden="false" customHeight="false" outlineLevel="0" collapsed="false">
      <c r="A18" s="10" t="s">
        <v>456</v>
      </c>
      <c r="B18" s="10" t="s">
        <v>395</v>
      </c>
      <c r="C18" s="10" t="s">
        <v>457</v>
      </c>
      <c r="D18" s="10" t="s">
        <v>401</v>
      </c>
      <c r="E18" s="10" t="s">
        <v>454</v>
      </c>
      <c r="F18" s="10" t="n">
        <v>10</v>
      </c>
      <c r="G18" s="10" t="s">
        <v>458</v>
      </c>
      <c r="H18" s="10" t="n">
        <v>4</v>
      </c>
      <c r="I18" s="10" t="n">
        <v>0</v>
      </c>
      <c r="J18" s="10" t="n">
        <v>5</v>
      </c>
      <c r="K18" s="10" t="n">
        <v>88</v>
      </c>
      <c r="L18" s="10" t="n">
        <v>100</v>
      </c>
      <c r="M18" s="10" t="n">
        <v>0</v>
      </c>
    </row>
    <row r="19" customFormat="false" ht="15" hidden="false" customHeight="false" outlineLevel="0" collapsed="false">
      <c r="A19" s="10" t="s">
        <v>459</v>
      </c>
      <c r="B19" s="10" t="s">
        <v>395</v>
      </c>
      <c r="C19" s="10" t="s">
        <v>460</v>
      </c>
      <c r="D19" s="10" t="s">
        <v>461</v>
      </c>
      <c r="E19" s="10" t="s">
        <v>77</v>
      </c>
      <c r="F19" s="10" t="n">
        <v>13</v>
      </c>
      <c r="G19" s="10" t="s">
        <v>462</v>
      </c>
      <c r="H19" s="10" t="n">
        <v>4</v>
      </c>
      <c r="I19" s="10" t="n">
        <v>2</v>
      </c>
      <c r="J19" s="10" t="n">
        <v>5</v>
      </c>
      <c r="K19" s="10" t="n">
        <v>95</v>
      </c>
      <c r="L19" s="10" t="n">
        <v>100</v>
      </c>
      <c r="M19" s="10" t="n">
        <v>152</v>
      </c>
    </row>
    <row r="20" customFormat="false" ht="15" hidden="false" customHeight="false" outlineLevel="0" collapsed="false">
      <c r="A20" s="10" t="s">
        <v>463</v>
      </c>
      <c r="B20" s="10" t="s">
        <v>395</v>
      </c>
      <c r="C20" s="10" t="s">
        <v>464</v>
      </c>
      <c r="D20" s="10" t="s">
        <v>465</v>
      </c>
      <c r="E20" s="10"/>
      <c r="F20" s="10" t="n">
        <v>14</v>
      </c>
      <c r="G20" s="10" t="s">
        <v>466</v>
      </c>
      <c r="H20" s="10" t="n">
        <v>5</v>
      </c>
      <c r="I20" s="10" t="n">
        <v>2</v>
      </c>
      <c r="J20" s="10" t="n">
        <v>3</v>
      </c>
      <c r="K20" s="10" t="n">
        <v>96</v>
      </c>
      <c r="L20" s="10" t="n">
        <v>100</v>
      </c>
      <c r="M20" s="10" t="n">
        <v>270</v>
      </c>
    </row>
    <row r="21" customFormat="false" ht="15" hidden="false" customHeight="false" outlineLevel="0" collapsed="false">
      <c r="A21" s="10" t="s">
        <v>467</v>
      </c>
      <c r="B21" s="10" t="s">
        <v>395</v>
      </c>
      <c r="C21" s="10" t="s">
        <v>468</v>
      </c>
      <c r="D21" s="10" t="s">
        <v>428</v>
      </c>
      <c r="E21" s="10" t="s">
        <v>314</v>
      </c>
      <c r="F21" s="10" t="n">
        <v>15</v>
      </c>
      <c r="G21" s="10" t="s">
        <v>469</v>
      </c>
      <c r="H21" s="10" t="n">
        <v>4</v>
      </c>
      <c r="I21" s="10" t="n">
        <v>2</v>
      </c>
      <c r="J21" s="10" t="n">
        <v>5</v>
      </c>
      <c r="K21" s="10" t="n">
        <v>96</v>
      </c>
      <c r="L21" s="10" t="n">
        <v>100</v>
      </c>
      <c r="M21" s="10" t="n">
        <v>168</v>
      </c>
    </row>
    <row r="22" customFormat="false" ht="15" hidden="false" customHeight="false" outlineLevel="0" collapsed="false">
      <c r="A22" s="10" t="s">
        <v>470</v>
      </c>
      <c r="B22" s="10" t="s">
        <v>395</v>
      </c>
      <c r="C22" s="10" t="s">
        <v>471</v>
      </c>
      <c r="D22" s="10" t="s">
        <v>428</v>
      </c>
      <c r="E22" s="10" t="s">
        <v>314</v>
      </c>
      <c r="F22" s="10" t="n">
        <v>15</v>
      </c>
      <c r="G22" s="10" t="s">
        <v>472</v>
      </c>
      <c r="H22" s="10" t="n">
        <v>4</v>
      </c>
      <c r="I22" s="10" t="n">
        <v>2</v>
      </c>
      <c r="J22" s="10" t="n">
        <v>6</v>
      </c>
      <c r="K22" s="10" t="n">
        <v>96</v>
      </c>
      <c r="L22" s="10" t="n">
        <v>100</v>
      </c>
      <c r="M22" s="10" t="n">
        <v>158</v>
      </c>
    </row>
    <row r="23" customFormat="false" ht="15" hidden="false" customHeight="false" outlineLevel="0" collapsed="false">
      <c r="A23" s="10" t="s">
        <v>473</v>
      </c>
      <c r="B23" s="10" t="s">
        <v>395</v>
      </c>
      <c r="C23" s="10" t="s">
        <v>474</v>
      </c>
      <c r="D23" s="10" t="s">
        <v>428</v>
      </c>
      <c r="E23" s="10" t="s">
        <v>314</v>
      </c>
      <c r="F23" s="10" t="n">
        <v>14</v>
      </c>
      <c r="G23" s="10" t="s">
        <v>475</v>
      </c>
      <c r="H23" s="10" t="n">
        <v>4</v>
      </c>
      <c r="I23" s="10" t="n">
        <v>2</v>
      </c>
      <c r="J23" s="10" t="n">
        <v>7</v>
      </c>
      <c r="K23" s="10" t="n">
        <v>96</v>
      </c>
      <c r="L23" s="10" t="n">
        <v>100</v>
      </c>
      <c r="M23" s="10" t="n">
        <v>160</v>
      </c>
    </row>
    <row r="24" customFormat="false" ht="15" hidden="false" customHeight="false" outlineLevel="0" collapsed="false">
      <c r="A24" s="10" t="s">
        <v>476</v>
      </c>
      <c r="B24" s="10" t="s">
        <v>395</v>
      </c>
      <c r="C24" s="10" t="s">
        <v>477</v>
      </c>
      <c r="D24" s="10" t="s">
        <v>428</v>
      </c>
      <c r="E24" s="10" t="s">
        <v>314</v>
      </c>
      <c r="F24" s="10" t="n">
        <v>14</v>
      </c>
      <c r="G24" s="10" t="s">
        <v>478</v>
      </c>
      <c r="H24" s="10" t="n">
        <v>4</v>
      </c>
      <c r="I24" s="10" t="n">
        <v>2</v>
      </c>
      <c r="J24" s="10" t="n">
        <v>7</v>
      </c>
      <c r="K24" s="10" t="n">
        <v>95</v>
      </c>
      <c r="L24" s="10" t="n">
        <v>100</v>
      </c>
      <c r="M24" s="10" t="n">
        <v>200</v>
      </c>
    </row>
    <row r="25" customFormat="false" ht="15" hidden="false" customHeight="false" outlineLevel="0" collapsed="false">
      <c r="A25" s="10" t="s">
        <v>479</v>
      </c>
      <c r="B25" s="10" t="s">
        <v>395</v>
      </c>
      <c r="C25" s="10" t="s">
        <v>480</v>
      </c>
      <c r="D25" s="10" t="s">
        <v>428</v>
      </c>
      <c r="E25" s="10" t="s">
        <v>314</v>
      </c>
      <c r="F25" s="10" t="n">
        <v>15</v>
      </c>
      <c r="G25" s="10" t="s">
        <v>481</v>
      </c>
      <c r="H25" s="10" t="n">
        <v>4</v>
      </c>
      <c r="I25" s="10" t="n">
        <v>2</v>
      </c>
      <c r="J25" s="10" t="n">
        <v>6</v>
      </c>
      <c r="K25" s="10" t="n">
        <v>95</v>
      </c>
      <c r="L25" s="10" t="n">
        <v>100</v>
      </c>
      <c r="M25" s="10" t="n">
        <v>183</v>
      </c>
    </row>
    <row r="26" customFormat="false" ht="15" hidden="false" customHeight="false" outlineLevel="0" collapsed="false">
      <c r="A26" s="10" t="s">
        <v>482</v>
      </c>
      <c r="B26" s="10" t="s">
        <v>395</v>
      </c>
      <c r="C26" s="10" t="s">
        <v>483</v>
      </c>
      <c r="D26" s="10" t="s">
        <v>428</v>
      </c>
      <c r="E26" s="10" t="s">
        <v>314</v>
      </c>
      <c r="F26" s="10" t="n">
        <v>15</v>
      </c>
      <c r="G26" s="10" t="s">
        <v>484</v>
      </c>
      <c r="H26" s="10" t="n">
        <v>4</v>
      </c>
      <c r="I26" s="10" t="n">
        <v>2</v>
      </c>
      <c r="J26" s="10" t="n">
        <v>5</v>
      </c>
      <c r="K26" s="10" t="n">
        <v>95</v>
      </c>
      <c r="L26" s="10" t="n">
        <v>100</v>
      </c>
      <c r="M26" s="10" t="n">
        <v>156</v>
      </c>
    </row>
    <row r="27" customFormat="false" ht="15" hidden="false" customHeight="false" outlineLevel="0" collapsed="false">
      <c r="A27" s="10" t="s">
        <v>485</v>
      </c>
      <c r="B27" s="10" t="s">
        <v>395</v>
      </c>
      <c r="C27" s="10" t="s">
        <v>486</v>
      </c>
      <c r="D27" s="10" t="s">
        <v>428</v>
      </c>
      <c r="E27" s="10" t="s">
        <v>314</v>
      </c>
      <c r="F27" s="10" t="n">
        <v>14</v>
      </c>
      <c r="G27" s="10" t="s">
        <v>487</v>
      </c>
      <c r="H27" s="10" t="n">
        <v>4</v>
      </c>
      <c r="I27" s="10" t="n">
        <v>2</v>
      </c>
      <c r="J27" s="10" t="n">
        <v>7</v>
      </c>
      <c r="K27" s="10" t="n">
        <v>95</v>
      </c>
      <c r="L27" s="10" t="n">
        <v>100</v>
      </c>
      <c r="M27" s="10" t="n">
        <v>191</v>
      </c>
    </row>
    <row r="28" customFormat="false" ht="15" hidden="false" customHeight="false" outlineLevel="0" collapsed="false">
      <c r="A28" s="10" t="s">
        <v>488</v>
      </c>
      <c r="B28" s="10" t="s">
        <v>395</v>
      </c>
      <c r="C28" s="10" t="s">
        <v>489</v>
      </c>
      <c r="D28" s="10" t="s">
        <v>428</v>
      </c>
      <c r="E28" s="10" t="s">
        <v>314</v>
      </c>
      <c r="F28" s="10" t="n">
        <v>15</v>
      </c>
      <c r="G28" s="10" t="s">
        <v>490</v>
      </c>
      <c r="H28" s="10" t="n">
        <v>4</v>
      </c>
      <c r="I28" s="10" t="n">
        <v>2</v>
      </c>
      <c r="J28" s="10" t="n">
        <v>6</v>
      </c>
      <c r="K28" s="10" t="n">
        <v>95</v>
      </c>
      <c r="L28" s="10" t="n">
        <v>100</v>
      </c>
      <c r="M28" s="10" t="n">
        <v>163</v>
      </c>
    </row>
    <row r="29" customFormat="false" ht="15" hidden="false" customHeight="false" outlineLevel="0" collapsed="false">
      <c r="A29" s="10" t="s">
        <v>491</v>
      </c>
      <c r="B29" s="10" t="s">
        <v>395</v>
      </c>
      <c r="C29" s="10" t="s">
        <v>492</v>
      </c>
      <c r="D29" s="10" t="s">
        <v>397</v>
      </c>
      <c r="E29" s="10"/>
      <c r="F29" s="10" t="n">
        <v>11</v>
      </c>
      <c r="G29" s="10" t="s">
        <v>493</v>
      </c>
      <c r="H29" s="10" t="n">
        <v>4</v>
      </c>
      <c r="I29" s="10" t="n">
        <v>2</v>
      </c>
      <c r="J29" s="10" t="n">
        <v>6</v>
      </c>
      <c r="K29" s="10" t="n">
        <v>95</v>
      </c>
      <c r="L29" s="10" t="n">
        <v>83</v>
      </c>
      <c r="M29" s="10" t="n">
        <v>164</v>
      </c>
    </row>
    <row r="30" customFormat="false" ht="15" hidden="false" customHeight="false" outlineLevel="0" collapsed="false">
      <c r="A30" s="10" t="s">
        <v>494</v>
      </c>
      <c r="B30" s="10" t="s">
        <v>395</v>
      </c>
      <c r="C30" s="10" t="s">
        <v>495</v>
      </c>
      <c r="D30" s="10" t="s">
        <v>433</v>
      </c>
      <c r="E30" s="10" t="s">
        <v>146</v>
      </c>
      <c r="F30" s="10" t="n">
        <v>14</v>
      </c>
      <c r="G30" s="10" t="s">
        <v>496</v>
      </c>
      <c r="H30" s="10" t="n">
        <v>4</v>
      </c>
      <c r="I30" s="10" t="n">
        <v>2</v>
      </c>
      <c r="J30" s="10" t="n">
        <v>7</v>
      </c>
      <c r="K30" s="10" t="n">
        <v>93</v>
      </c>
      <c r="L30" s="10" t="n">
        <v>86</v>
      </c>
      <c r="M30" s="10" t="n">
        <v>152</v>
      </c>
    </row>
    <row r="31" customFormat="false" ht="15" hidden="false" customHeight="false" outlineLevel="0" collapsed="false">
      <c r="A31" s="10" t="s">
        <v>497</v>
      </c>
      <c r="B31" s="10" t="s">
        <v>395</v>
      </c>
      <c r="C31" s="10" t="s">
        <v>498</v>
      </c>
      <c r="D31" s="10" t="s">
        <v>499</v>
      </c>
      <c r="E31" s="10" t="s">
        <v>240</v>
      </c>
      <c r="F31" s="10" t="n">
        <v>13</v>
      </c>
      <c r="G31" s="10" t="s">
        <v>500</v>
      </c>
      <c r="H31" s="10" t="n">
        <v>4</v>
      </c>
      <c r="I31" s="10" t="n">
        <v>2</v>
      </c>
      <c r="J31" s="10" t="n">
        <v>6</v>
      </c>
      <c r="K31" s="10" t="n">
        <v>97</v>
      </c>
      <c r="L31" s="10" t="n">
        <v>100</v>
      </c>
      <c r="M31" s="10" t="n">
        <v>214</v>
      </c>
    </row>
    <row r="32" customFormat="false" ht="15" hidden="false" customHeight="false" outlineLevel="0" collapsed="false">
      <c r="A32" s="10" t="s">
        <v>501</v>
      </c>
      <c r="B32" s="10" t="s">
        <v>395</v>
      </c>
      <c r="C32" s="10" t="s">
        <v>502</v>
      </c>
      <c r="D32" s="10" t="s">
        <v>433</v>
      </c>
      <c r="E32" s="10" t="s">
        <v>503</v>
      </c>
      <c r="F32" s="10" t="n">
        <v>14</v>
      </c>
      <c r="G32" s="10" t="s">
        <v>504</v>
      </c>
      <c r="H32" s="10" t="n">
        <v>4</v>
      </c>
      <c r="I32" s="10" t="n">
        <v>2</v>
      </c>
      <c r="J32" s="10" t="n">
        <v>7</v>
      </c>
      <c r="K32" s="10" t="n">
        <v>95</v>
      </c>
      <c r="L32" s="10" t="n">
        <v>86</v>
      </c>
      <c r="M32" s="10" t="n">
        <v>212</v>
      </c>
    </row>
    <row r="33" customFormat="false" ht="15" hidden="false" customHeight="false" outlineLevel="0" collapsed="false">
      <c r="A33" s="10" t="s">
        <v>505</v>
      </c>
      <c r="B33" s="10" t="s">
        <v>395</v>
      </c>
      <c r="C33" s="10" t="s">
        <v>506</v>
      </c>
      <c r="D33" s="10" t="s">
        <v>433</v>
      </c>
      <c r="E33" s="10" t="s">
        <v>216</v>
      </c>
      <c r="F33" s="10" t="n">
        <v>14</v>
      </c>
      <c r="G33" s="10" t="s">
        <v>507</v>
      </c>
      <c r="H33" s="10" t="n">
        <v>4</v>
      </c>
      <c r="I33" s="10" t="n">
        <v>2</v>
      </c>
      <c r="J33" s="10" t="n">
        <v>4</v>
      </c>
      <c r="K33" s="10" t="n">
        <v>97</v>
      </c>
      <c r="L33" s="10" t="n">
        <v>100</v>
      </c>
      <c r="M33" s="10" t="n">
        <v>182</v>
      </c>
    </row>
    <row r="34" customFormat="false" ht="15" hidden="false" customHeight="false" outlineLevel="0" collapsed="false">
      <c r="A34" s="10" t="s">
        <v>508</v>
      </c>
      <c r="B34" s="10" t="s">
        <v>395</v>
      </c>
      <c r="C34" s="10" t="s">
        <v>509</v>
      </c>
      <c r="D34" s="10" t="s">
        <v>433</v>
      </c>
      <c r="E34" s="10" t="s">
        <v>191</v>
      </c>
      <c r="F34" s="10" t="n">
        <v>12</v>
      </c>
      <c r="G34" s="10" t="s">
        <v>510</v>
      </c>
      <c r="H34" s="10" t="n">
        <v>4</v>
      </c>
      <c r="I34" s="10" t="n">
        <v>2</v>
      </c>
      <c r="J34" s="10" t="n">
        <v>8</v>
      </c>
      <c r="K34" s="10" t="n">
        <v>95</v>
      </c>
      <c r="L34" s="10" t="n">
        <v>88</v>
      </c>
      <c r="M34" s="10" t="n">
        <v>162</v>
      </c>
    </row>
    <row r="35" customFormat="false" ht="15" hidden="false" customHeight="false" outlineLevel="0" collapsed="false">
      <c r="A35" s="10" t="s">
        <v>511</v>
      </c>
      <c r="B35" s="10" t="s">
        <v>395</v>
      </c>
      <c r="C35" s="10" t="s">
        <v>512</v>
      </c>
      <c r="D35" s="10" t="s">
        <v>461</v>
      </c>
      <c r="E35" s="10" t="s">
        <v>129</v>
      </c>
      <c r="F35" s="10" t="n">
        <v>15</v>
      </c>
      <c r="G35" s="10" t="s">
        <v>513</v>
      </c>
      <c r="H35" s="10" t="n">
        <v>4</v>
      </c>
      <c r="I35" s="10" t="n">
        <v>2</v>
      </c>
      <c r="J35" s="10" t="n">
        <v>8</v>
      </c>
      <c r="K35" s="10" t="n">
        <v>97</v>
      </c>
      <c r="L35" s="10" t="n">
        <v>100</v>
      </c>
      <c r="M35" s="10" t="n">
        <v>229</v>
      </c>
    </row>
    <row r="36" customFormat="false" ht="15" hidden="false" customHeight="false" outlineLevel="0" collapsed="false">
      <c r="A36" s="10" t="s">
        <v>514</v>
      </c>
      <c r="B36" s="10" t="s">
        <v>395</v>
      </c>
      <c r="C36" s="10" t="s">
        <v>515</v>
      </c>
      <c r="D36" s="10" t="s">
        <v>461</v>
      </c>
      <c r="E36" s="10" t="s">
        <v>516</v>
      </c>
      <c r="F36" s="10" t="n">
        <v>12</v>
      </c>
      <c r="G36" s="10" t="s">
        <v>517</v>
      </c>
      <c r="H36" s="10" t="n">
        <v>4</v>
      </c>
      <c r="I36" s="10" t="n">
        <v>2</v>
      </c>
      <c r="J36" s="10" t="n">
        <v>5</v>
      </c>
      <c r="K36" s="10" t="n">
        <v>98</v>
      </c>
      <c r="L36" s="10" t="n">
        <v>100</v>
      </c>
      <c r="M36" s="10" t="n">
        <v>209</v>
      </c>
    </row>
    <row r="37" customFormat="false" ht="15" hidden="false" customHeight="false" outlineLevel="0" collapsed="false">
      <c r="A37" s="10" t="s">
        <v>518</v>
      </c>
      <c r="B37" s="10" t="s">
        <v>395</v>
      </c>
      <c r="C37" s="10" t="s">
        <v>519</v>
      </c>
      <c r="D37" s="10" t="s">
        <v>520</v>
      </c>
      <c r="E37" s="10" t="s">
        <v>254</v>
      </c>
      <c r="F37" s="10" t="n">
        <v>14</v>
      </c>
      <c r="G37" s="10" t="s">
        <v>521</v>
      </c>
      <c r="H37" s="10" t="n">
        <v>4</v>
      </c>
      <c r="I37" s="10" t="n">
        <v>2</v>
      </c>
      <c r="J37" s="10" t="n">
        <v>6</v>
      </c>
      <c r="K37" s="10" t="n">
        <v>96</v>
      </c>
      <c r="L37" s="10" t="n">
        <v>100</v>
      </c>
      <c r="M37" s="10" t="n">
        <v>201</v>
      </c>
    </row>
    <row r="38" customFormat="false" ht="15" hidden="false" customHeight="false" outlineLevel="0" collapsed="false">
      <c r="A38" s="10" t="s">
        <v>522</v>
      </c>
      <c r="B38" s="10" t="s">
        <v>395</v>
      </c>
      <c r="C38" s="10" t="s">
        <v>523</v>
      </c>
      <c r="D38" s="10" t="s">
        <v>520</v>
      </c>
      <c r="E38" s="10" t="s">
        <v>254</v>
      </c>
      <c r="F38" s="10" t="n">
        <v>14</v>
      </c>
      <c r="G38" s="10" t="s">
        <v>521</v>
      </c>
      <c r="H38" s="10" t="n">
        <v>4</v>
      </c>
      <c r="I38" s="10" t="n">
        <v>2</v>
      </c>
      <c r="J38" s="10" t="n">
        <v>6</v>
      </c>
      <c r="K38" s="10" t="n">
        <v>96</v>
      </c>
      <c r="L38" s="10" t="n">
        <v>100</v>
      </c>
      <c r="M38" s="10" t="n">
        <v>252</v>
      </c>
    </row>
    <row r="39" customFormat="false" ht="15" hidden="false" customHeight="false" outlineLevel="0" collapsed="false">
      <c r="A39" s="10" t="s">
        <v>524</v>
      </c>
      <c r="B39" s="10" t="s">
        <v>395</v>
      </c>
      <c r="C39" s="10" t="s">
        <v>525</v>
      </c>
      <c r="D39" s="10" t="s">
        <v>520</v>
      </c>
      <c r="E39" s="10" t="s">
        <v>254</v>
      </c>
      <c r="F39" s="10" t="n">
        <v>14</v>
      </c>
      <c r="G39" s="10" t="s">
        <v>526</v>
      </c>
      <c r="H39" s="10" t="n">
        <v>4</v>
      </c>
      <c r="I39" s="10" t="n">
        <v>2</v>
      </c>
      <c r="J39" s="10" t="n">
        <v>5</v>
      </c>
      <c r="K39" s="10" t="n">
        <v>97</v>
      </c>
      <c r="L39" s="10" t="n">
        <v>100</v>
      </c>
      <c r="M39" s="10" t="n">
        <v>223</v>
      </c>
    </row>
    <row r="40" customFormat="false" ht="15" hidden="false" customHeight="false" outlineLevel="0" collapsed="false">
      <c r="A40" s="10" t="s">
        <v>527</v>
      </c>
      <c r="B40" s="10" t="s">
        <v>395</v>
      </c>
      <c r="C40" s="10" t="s">
        <v>528</v>
      </c>
      <c r="D40" s="10" t="s">
        <v>520</v>
      </c>
      <c r="E40" s="10" t="s">
        <v>254</v>
      </c>
      <c r="F40" s="10" t="n">
        <v>14</v>
      </c>
      <c r="G40" s="10" t="s">
        <v>529</v>
      </c>
      <c r="H40" s="10" t="n">
        <v>4</v>
      </c>
      <c r="I40" s="10" t="n">
        <v>2</v>
      </c>
      <c r="J40" s="10" t="n">
        <v>5</v>
      </c>
      <c r="K40" s="10" t="n">
        <v>95</v>
      </c>
      <c r="L40" s="10" t="n">
        <v>100</v>
      </c>
      <c r="M40" s="10" t="n">
        <v>170</v>
      </c>
    </row>
    <row r="41" customFormat="false" ht="15" hidden="false" customHeight="false" outlineLevel="0" collapsed="false">
      <c r="A41" s="10" t="s">
        <v>530</v>
      </c>
      <c r="B41" s="10" t="s">
        <v>395</v>
      </c>
      <c r="C41" s="10" t="s">
        <v>531</v>
      </c>
      <c r="D41" s="10" t="s">
        <v>520</v>
      </c>
      <c r="E41" s="10" t="s">
        <v>254</v>
      </c>
      <c r="F41" s="10" t="n">
        <v>14</v>
      </c>
      <c r="G41" s="10" t="s">
        <v>532</v>
      </c>
      <c r="H41" s="10" t="n">
        <v>4</v>
      </c>
      <c r="I41" s="10" t="n">
        <v>2</v>
      </c>
      <c r="J41" s="10" t="n">
        <v>6</v>
      </c>
      <c r="K41" s="10" t="n">
        <v>96</v>
      </c>
      <c r="L41" s="10" t="n">
        <v>100</v>
      </c>
      <c r="M41" s="10" t="n">
        <v>241</v>
      </c>
    </row>
    <row r="42" customFormat="false" ht="15" hidden="false" customHeight="false" outlineLevel="0" collapsed="false">
      <c r="A42" s="10" t="s">
        <v>533</v>
      </c>
      <c r="B42" s="10" t="s">
        <v>395</v>
      </c>
      <c r="C42" s="10" t="s">
        <v>534</v>
      </c>
      <c r="D42" s="10" t="s">
        <v>520</v>
      </c>
      <c r="E42" s="10" t="s">
        <v>254</v>
      </c>
      <c r="F42" s="10" t="n">
        <v>14</v>
      </c>
      <c r="G42" s="10" t="s">
        <v>535</v>
      </c>
      <c r="H42" s="10" t="n">
        <v>4</v>
      </c>
      <c r="I42" s="10" t="n">
        <v>2</v>
      </c>
      <c r="J42" s="10" t="n">
        <v>5</v>
      </c>
      <c r="K42" s="10" t="n">
        <v>97</v>
      </c>
      <c r="L42" s="10" t="n">
        <v>100</v>
      </c>
      <c r="M42" s="10" t="n">
        <v>234</v>
      </c>
    </row>
    <row r="43" customFormat="false" ht="15" hidden="false" customHeight="false" outlineLevel="0" collapsed="false">
      <c r="A43" s="10" t="s">
        <v>536</v>
      </c>
      <c r="B43" s="10" t="s">
        <v>395</v>
      </c>
      <c r="C43" s="10" t="s">
        <v>537</v>
      </c>
      <c r="D43" s="10" t="s">
        <v>520</v>
      </c>
      <c r="E43" s="10" t="s">
        <v>254</v>
      </c>
      <c r="F43" s="10" t="n">
        <v>14</v>
      </c>
      <c r="G43" s="10" t="s">
        <v>538</v>
      </c>
      <c r="H43" s="10" t="n">
        <v>4</v>
      </c>
      <c r="I43" s="10" t="n">
        <v>2</v>
      </c>
      <c r="J43" s="10" t="n">
        <v>5</v>
      </c>
      <c r="K43" s="10" t="n">
        <v>97</v>
      </c>
      <c r="L43" s="10" t="n">
        <v>100</v>
      </c>
      <c r="M43" s="10" t="n">
        <v>248</v>
      </c>
    </row>
    <row r="44" customFormat="false" ht="15" hidden="false" customHeight="false" outlineLevel="0" collapsed="false">
      <c r="A44" s="10" t="s">
        <v>539</v>
      </c>
      <c r="B44" s="10" t="s">
        <v>395</v>
      </c>
      <c r="C44" s="10" t="s">
        <v>540</v>
      </c>
      <c r="D44" s="10" t="s">
        <v>520</v>
      </c>
      <c r="E44" s="10" t="s">
        <v>254</v>
      </c>
      <c r="F44" s="10" t="n">
        <v>14</v>
      </c>
      <c r="G44" s="10" t="s">
        <v>541</v>
      </c>
      <c r="H44" s="10" t="n">
        <v>4</v>
      </c>
      <c r="I44" s="10" t="n">
        <v>2</v>
      </c>
      <c r="J44" s="10" t="n">
        <v>5</v>
      </c>
      <c r="K44" s="10" t="n">
        <v>95</v>
      </c>
      <c r="L44" s="10" t="n">
        <v>100</v>
      </c>
      <c r="M44" s="10" t="n">
        <v>174</v>
      </c>
    </row>
    <row r="45" customFormat="false" ht="15" hidden="false" customHeight="false" outlineLevel="0" collapsed="false">
      <c r="A45" s="10" t="s">
        <v>542</v>
      </c>
      <c r="B45" s="10" t="s">
        <v>395</v>
      </c>
      <c r="C45" s="10" t="s">
        <v>543</v>
      </c>
      <c r="D45" s="10" t="s">
        <v>520</v>
      </c>
      <c r="E45" s="10" t="s">
        <v>254</v>
      </c>
      <c r="F45" s="10" t="n">
        <v>14</v>
      </c>
      <c r="G45" s="10" t="s">
        <v>544</v>
      </c>
      <c r="H45" s="10" t="n">
        <v>4</v>
      </c>
      <c r="I45" s="10" t="n">
        <v>2</v>
      </c>
      <c r="J45" s="10" t="n">
        <v>5</v>
      </c>
      <c r="K45" s="10" t="n">
        <v>97</v>
      </c>
      <c r="L45" s="10" t="n">
        <v>100</v>
      </c>
      <c r="M45" s="10" t="n">
        <v>243</v>
      </c>
    </row>
    <row r="46" customFormat="false" ht="15" hidden="false" customHeight="false" outlineLevel="0" collapsed="false">
      <c r="A46" s="10" t="s">
        <v>545</v>
      </c>
      <c r="B46" s="10" t="s">
        <v>395</v>
      </c>
      <c r="C46" s="10" t="s">
        <v>546</v>
      </c>
      <c r="D46" s="10" t="s">
        <v>520</v>
      </c>
      <c r="E46" s="10" t="s">
        <v>254</v>
      </c>
      <c r="F46" s="10" t="n">
        <v>14</v>
      </c>
      <c r="G46" s="10" t="s">
        <v>547</v>
      </c>
      <c r="H46" s="10" t="n">
        <v>4</v>
      </c>
      <c r="I46" s="10" t="n">
        <v>2</v>
      </c>
      <c r="J46" s="10" t="n">
        <v>6</v>
      </c>
      <c r="K46" s="10" t="n">
        <v>97</v>
      </c>
      <c r="L46" s="10" t="n">
        <v>100</v>
      </c>
      <c r="M46" s="10" t="n">
        <v>262</v>
      </c>
    </row>
    <row r="47" customFormat="false" ht="15" hidden="false" customHeight="false" outlineLevel="0" collapsed="false">
      <c r="A47" s="10" t="s">
        <v>548</v>
      </c>
      <c r="B47" s="10" t="s">
        <v>395</v>
      </c>
      <c r="C47" s="10" t="s">
        <v>549</v>
      </c>
      <c r="D47" s="10" t="s">
        <v>520</v>
      </c>
      <c r="E47" s="10" t="s">
        <v>254</v>
      </c>
      <c r="F47" s="10" t="n">
        <v>14</v>
      </c>
      <c r="G47" s="10" t="s">
        <v>550</v>
      </c>
      <c r="H47" s="10" t="n">
        <v>4</v>
      </c>
      <c r="I47" s="10" t="n">
        <v>2</v>
      </c>
      <c r="J47" s="10" t="n">
        <v>5</v>
      </c>
      <c r="K47" s="10" t="n">
        <v>97</v>
      </c>
      <c r="L47" s="10" t="n">
        <v>100</v>
      </c>
      <c r="M47" s="10" t="n">
        <v>244</v>
      </c>
    </row>
    <row r="48" customFormat="false" ht="15" hidden="false" customHeight="false" outlineLevel="0" collapsed="false">
      <c r="A48" s="10" t="s">
        <v>551</v>
      </c>
      <c r="B48" s="10" t="s">
        <v>395</v>
      </c>
      <c r="C48" s="10" t="s">
        <v>552</v>
      </c>
      <c r="D48" s="10" t="s">
        <v>520</v>
      </c>
      <c r="E48" s="10" t="s">
        <v>254</v>
      </c>
      <c r="F48" s="10" t="n">
        <v>14</v>
      </c>
      <c r="G48" s="10" t="s">
        <v>521</v>
      </c>
      <c r="H48" s="10" t="n">
        <v>4</v>
      </c>
      <c r="I48" s="10" t="n">
        <v>2</v>
      </c>
      <c r="J48" s="10" t="n">
        <v>6</v>
      </c>
      <c r="K48" s="10" t="n">
        <v>96</v>
      </c>
      <c r="L48" s="10" t="n">
        <v>100</v>
      </c>
      <c r="M48" s="10" t="n">
        <v>206</v>
      </c>
    </row>
    <row r="49" customFormat="false" ht="15" hidden="false" customHeight="false" outlineLevel="0" collapsed="false">
      <c r="A49" s="10" t="s">
        <v>553</v>
      </c>
      <c r="B49" s="10" t="s">
        <v>395</v>
      </c>
      <c r="C49" s="10" t="s">
        <v>554</v>
      </c>
      <c r="D49" s="10" t="s">
        <v>520</v>
      </c>
      <c r="E49" s="10" t="s">
        <v>254</v>
      </c>
      <c r="F49" s="10" t="n">
        <v>14</v>
      </c>
      <c r="G49" s="10" t="s">
        <v>555</v>
      </c>
      <c r="H49" s="10" t="n">
        <v>4</v>
      </c>
      <c r="I49" s="10" t="n">
        <v>2</v>
      </c>
      <c r="J49" s="10" t="n">
        <v>5</v>
      </c>
      <c r="K49" s="10" t="n">
        <v>97</v>
      </c>
      <c r="L49" s="10" t="n">
        <v>100</v>
      </c>
      <c r="M49" s="10" t="n">
        <v>226</v>
      </c>
    </row>
    <row r="50" customFormat="false" ht="15" hidden="false" customHeight="false" outlineLevel="0" collapsed="false">
      <c r="A50" s="10" t="s">
        <v>556</v>
      </c>
      <c r="B50" s="10" t="s">
        <v>395</v>
      </c>
      <c r="C50" s="10" t="s">
        <v>557</v>
      </c>
      <c r="D50" s="10" t="s">
        <v>520</v>
      </c>
      <c r="E50" s="10" t="s">
        <v>254</v>
      </c>
      <c r="F50" s="10" t="n">
        <v>14</v>
      </c>
      <c r="G50" s="10" t="s">
        <v>558</v>
      </c>
      <c r="H50" s="10" t="n">
        <v>4</v>
      </c>
      <c r="I50" s="10" t="n">
        <v>2</v>
      </c>
      <c r="J50" s="10" t="n">
        <v>5</v>
      </c>
      <c r="K50" s="10" t="n">
        <v>97</v>
      </c>
      <c r="L50" s="10" t="n">
        <v>100</v>
      </c>
      <c r="M50" s="10" t="n">
        <v>205</v>
      </c>
    </row>
    <row r="51" customFormat="false" ht="15" hidden="false" customHeight="false" outlineLevel="0" collapsed="false">
      <c r="A51" s="10" t="s">
        <v>559</v>
      </c>
      <c r="B51" s="10" t="s">
        <v>395</v>
      </c>
      <c r="C51" s="10" t="s">
        <v>560</v>
      </c>
      <c r="D51" s="10" t="s">
        <v>520</v>
      </c>
      <c r="E51" s="10" t="s">
        <v>254</v>
      </c>
      <c r="F51" s="10" t="n">
        <v>14</v>
      </c>
      <c r="G51" s="10" t="s">
        <v>561</v>
      </c>
      <c r="H51" s="10" t="n">
        <v>4</v>
      </c>
      <c r="I51" s="10" t="n">
        <v>2</v>
      </c>
      <c r="J51" s="10" t="n">
        <v>5</v>
      </c>
      <c r="K51" s="10" t="n">
        <v>97</v>
      </c>
      <c r="L51" s="10" t="n">
        <v>100</v>
      </c>
      <c r="M51" s="10" t="n">
        <v>230</v>
      </c>
    </row>
    <row r="52" customFormat="false" ht="15" hidden="false" customHeight="false" outlineLevel="0" collapsed="false">
      <c r="A52" s="10" t="s">
        <v>562</v>
      </c>
      <c r="B52" s="10" t="s">
        <v>395</v>
      </c>
      <c r="C52" s="10" t="s">
        <v>563</v>
      </c>
      <c r="D52" s="10" t="s">
        <v>520</v>
      </c>
      <c r="E52" s="10" t="s">
        <v>254</v>
      </c>
      <c r="F52" s="10" t="n">
        <v>14</v>
      </c>
      <c r="G52" s="10" t="s">
        <v>564</v>
      </c>
      <c r="H52" s="10" t="n">
        <v>4</v>
      </c>
      <c r="I52" s="10" t="n">
        <v>2</v>
      </c>
      <c r="J52" s="10" t="n">
        <v>5</v>
      </c>
      <c r="K52" s="10" t="n">
        <v>97</v>
      </c>
      <c r="L52" s="10" t="n">
        <v>100</v>
      </c>
      <c r="M52" s="10" t="n">
        <v>241</v>
      </c>
    </row>
    <row r="53" customFormat="false" ht="15" hidden="false" customHeight="false" outlineLevel="0" collapsed="false">
      <c r="A53" s="10" t="s">
        <v>565</v>
      </c>
      <c r="B53" s="10" t="s">
        <v>395</v>
      </c>
      <c r="C53" s="10" t="s">
        <v>566</v>
      </c>
      <c r="D53" s="10" t="s">
        <v>520</v>
      </c>
      <c r="E53" s="10" t="s">
        <v>254</v>
      </c>
      <c r="F53" s="10" t="n">
        <v>14</v>
      </c>
      <c r="G53" s="10" t="s">
        <v>521</v>
      </c>
      <c r="H53" s="10" t="n">
        <v>4</v>
      </c>
      <c r="I53" s="10" t="n">
        <v>2</v>
      </c>
      <c r="J53" s="10" t="n">
        <v>6</v>
      </c>
      <c r="K53" s="10" t="n">
        <v>96</v>
      </c>
      <c r="L53" s="10" t="n">
        <v>100</v>
      </c>
      <c r="M53" s="10" t="n">
        <v>244</v>
      </c>
    </row>
    <row r="54" customFormat="false" ht="15" hidden="false" customHeight="false" outlineLevel="0" collapsed="false">
      <c r="A54" s="10" t="s">
        <v>567</v>
      </c>
      <c r="B54" s="10" t="s">
        <v>395</v>
      </c>
      <c r="C54" s="10" t="s">
        <v>568</v>
      </c>
      <c r="D54" s="10" t="s">
        <v>520</v>
      </c>
      <c r="E54" s="10" t="s">
        <v>254</v>
      </c>
      <c r="F54" s="10" t="n">
        <v>14</v>
      </c>
      <c r="G54" s="10" t="s">
        <v>564</v>
      </c>
      <c r="H54" s="10" t="n">
        <v>4</v>
      </c>
      <c r="I54" s="10" t="n">
        <v>2</v>
      </c>
      <c r="J54" s="10" t="n">
        <v>5</v>
      </c>
      <c r="K54" s="10" t="n">
        <v>97</v>
      </c>
      <c r="L54" s="10" t="n">
        <v>100</v>
      </c>
      <c r="M54" s="10" t="n">
        <v>248</v>
      </c>
    </row>
    <row r="55" customFormat="false" ht="15" hidden="false" customHeight="false" outlineLevel="0" collapsed="false">
      <c r="A55" s="10" t="s">
        <v>569</v>
      </c>
      <c r="B55" s="10" t="s">
        <v>395</v>
      </c>
      <c r="C55" s="10" t="s">
        <v>570</v>
      </c>
      <c r="D55" s="10" t="s">
        <v>401</v>
      </c>
      <c r="E55" s="10" t="s">
        <v>196</v>
      </c>
      <c r="F55" s="10" t="n">
        <v>13</v>
      </c>
      <c r="G55" s="10" t="s">
        <v>571</v>
      </c>
      <c r="H55" s="10" t="n">
        <v>4</v>
      </c>
      <c r="I55" s="10" t="n">
        <v>2</v>
      </c>
      <c r="J55" s="10" t="n">
        <v>4</v>
      </c>
      <c r="K55" s="10" t="n">
        <v>98</v>
      </c>
      <c r="L55" s="10" t="n">
        <v>100</v>
      </c>
      <c r="M55" s="10" t="n">
        <v>193</v>
      </c>
    </row>
    <row r="56" customFormat="false" ht="15" hidden="false" customHeight="false" outlineLevel="0" collapsed="false">
      <c r="A56" s="10" t="s">
        <v>572</v>
      </c>
      <c r="B56" s="10" t="s">
        <v>395</v>
      </c>
      <c r="C56" s="10" t="s">
        <v>573</v>
      </c>
      <c r="D56" s="10" t="s">
        <v>397</v>
      </c>
      <c r="E56" s="10" t="s">
        <v>139</v>
      </c>
      <c r="F56" s="10" t="n">
        <v>13</v>
      </c>
      <c r="G56" s="10" t="s">
        <v>574</v>
      </c>
      <c r="H56" s="10" t="n">
        <v>4</v>
      </c>
      <c r="I56" s="10" t="n">
        <v>2</v>
      </c>
      <c r="J56" s="10" t="n">
        <v>4</v>
      </c>
      <c r="K56" s="10" t="n">
        <v>98</v>
      </c>
      <c r="L56" s="10" t="n">
        <v>100</v>
      </c>
      <c r="M56" s="10" t="n">
        <v>246</v>
      </c>
    </row>
    <row r="57" customFormat="false" ht="15" hidden="false" customHeight="false" outlineLevel="0" collapsed="false">
      <c r="A57" s="10" t="s">
        <v>575</v>
      </c>
      <c r="B57" s="10" t="s">
        <v>395</v>
      </c>
      <c r="C57" s="10" t="s">
        <v>576</v>
      </c>
      <c r="D57" s="10" t="s">
        <v>450</v>
      </c>
      <c r="E57" s="10" t="s">
        <v>577</v>
      </c>
      <c r="F57" s="10" t="n">
        <v>12</v>
      </c>
      <c r="G57" s="10" t="s">
        <v>578</v>
      </c>
      <c r="H57" s="10" t="n">
        <v>4</v>
      </c>
      <c r="I57" s="10" t="n">
        <v>2</v>
      </c>
      <c r="J57" s="10" t="n">
        <v>4</v>
      </c>
      <c r="K57" s="10" t="n">
        <v>92</v>
      </c>
      <c r="L57" s="10" t="n">
        <v>75</v>
      </c>
      <c r="M57" s="10" t="n">
        <v>124</v>
      </c>
    </row>
    <row r="58" customFormat="false" ht="15" hidden="false" customHeight="false" outlineLevel="0" collapsed="false">
      <c r="A58" s="10" t="s">
        <v>579</v>
      </c>
      <c r="B58" s="10" t="s">
        <v>395</v>
      </c>
      <c r="C58" s="10" t="s">
        <v>580</v>
      </c>
      <c r="D58" s="10" t="s">
        <v>499</v>
      </c>
      <c r="E58" s="10" t="s">
        <v>258</v>
      </c>
      <c r="F58" s="10" t="n">
        <v>14</v>
      </c>
      <c r="G58" s="10" t="s">
        <v>581</v>
      </c>
      <c r="H58" s="10" t="n">
        <v>4</v>
      </c>
      <c r="I58" s="10" t="n">
        <v>2</v>
      </c>
      <c r="J58" s="10" t="n">
        <v>9</v>
      </c>
      <c r="K58" s="10" t="n">
        <v>98</v>
      </c>
      <c r="L58" s="10" t="n">
        <v>100</v>
      </c>
      <c r="M58" s="10" t="n">
        <v>203</v>
      </c>
    </row>
    <row r="59" customFormat="false" ht="15" hidden="false" customHeight="false" outlineLevel="0" collapsed="false">
      <c r="A59" s="10" t="s">
        <v>582</v>
      </c>
      <c r="B59" s="10" t="s">
        <v>395</v>
      </c>
      <c r="C59" s="10" t="s">
        <v>583</v>
      </c>
      <c r="D59" s="10" t="s">
        <v>397</v>
      </c>
      <c r="E59" s="10" t="s">
        <v>258</v>
      </c>
      <c r="F59" s="10" t="n">
        <v>14</v>
      </c>
      <c r="G59" s="10" t="s">
        <v>581</v>
      </c>
      <c r="H59" s="10" t="n">
        <v>4</v>
      </c>
      <c r="I59" s="10" t="n">
        <v>2</v>
      </c>
      <c r="J59" s="10" t="n">
        <v>6</v>
      </c>
      <c r="K59" s="10" t="n">
        <v>95</v>
      </c>
      <c r="L59" s="10" t="n">
        <v>100</v>
      </c>
      <c r="M59" s="10" t="n">
        <v>168</v>
      </c>
    </row>
    <row r="60" customFormat="false" ht="15" hidden="false" customHeight="false" outlineLevel="0" collapsed="false">
      <c r="A60" s="10" t="s">
        <v>584</v>
      </c>
      <c r="B60" s="10" t="s">
        <v>395</v>
      </c>
      <c r="C60" s="10" t="s">
        <v>585</v>
      </c>
      <c r="D60" s="10" t="s">
        <v>499</v>
      </c>
      <c r="E60" s="10" t="s">
        <v>258</v>
      </c>
      <c r="F60" s="10" t="n">
        <v>15</v>
      </c>
      <c r="G60" s="10" t="s">
        <v>586</v>
      </c>
      <c r="H60" s="10" t="n">
        <v>4</v>
      </c>
      <c r="I60" s="10" t="n">
        <v>2</v>
      </c>
      <c r="J60" s="10" t="n">
        <v>5</v>
      </c>
      <c r="K60" s="10" t="n">
        <v>95</v>
      </c>
      <c r="L60" s="10" t="n">
        <v>100</v>
      </c>
      <c r="M60" s="10" t="n">
        <v>191</v>
      </c>
    </row>
    <row r="61" customFormat="false" ht="15" hidden="false" customHeight="false" outlineLevel="0" collapsed="false">
      <c r="A61" s="10" t="s">
        <v>587</v>
      </c>
      <c r="B61" s="10" t="s">
        <v>395</v>
      </c>
      <c r="C61" s="10" t="s">
        <v>588</v>
      </c>
      <c r="D61" s="10" t="s">
        <v>417</v>
      </c>
      <c r="E61" s="10" t="s">
        <v>258</v>
      </c>
      <c r="F61" s="10" t="n">
        <v>14</v>
      </c>
      <c r="G61" s="10" t="s">
        <v>586</v>
      </c>
      <c r="H61" s="10" t="n">
        <v>4</v>
      </c>
      <c r="I61" s="10" t="n">
        <v>2</v>
      </c>
      <c r="J61" s="10" t="n">
        <v>5</v>
      </c>
      <c r="K61" s="10" t="n">
        <v>95</v>
      </c>
      <c r="L61" s="10" t="n">
        <v>100</v>
      </c>
      <c r="M61" s="10" t="n">
        <v>266</v>
      </c>
    </row>
    <row r="62" customFormat="false" ht="15" hidden="false" customHeight="false" outlineLevel="0" collapsed="false">
      <c r="A62" s="10" t="s">
        <v>589</v>
      </c>
      <c r="B62" s="10" t="s">
        <v>395</v>
      </c>
      <c r="C62" s="10" t="s">
        <v>590</v>
      </c>
      <c r="D62" s="10" t="s">
        <v>499</v>
      </c>
      <c r="E62" s="10" t="s">
        <v>258</v>
      </c>
      <c r="F62" s="10" t="n">
        <v>14</v>
      </c>
      <c r="G62" s="10" t="s">
        <v>591</v>
      </c>
      <c r="H62" s="10" t="n">
        <v>4</v>
      </c>
      <c r="I62" s="10" t="n">
        <v>2</v>
      </c>
      <c r="J62" s="10" t="n">
        <v>10</v>
      </c>
      <c r="K62" s="10" t="n">
        <v>97</v>
      </c>
      <c r="L62" s="10" t="n">
        <v>100</v>
      </c>
      <c r="M62" s="10" t="n">
        <v>190</v>
      </c>
    </row>
    <row r="63" customFormat="false" ht="15" hidden="false" customHeight="false" outlineLevel="0" collapsed="false">
      <c r="A63" s="10" t="s">
        <v>592</v>
      </c>
      <c r="B63" s="10" t="s">
        <v>395</v>
      </c>
      <c r="C63" s="10" t="s">
        <v>593</v>
      </c>
      <c r="D63" s="10" t="s">
        <v>499</v>
      </c>
      <c r="E63" s="10" t="s">
        <v>258</v>
      </c>
      <c r="F63" s="10" t="n">
        <v>14</v>
      </c>
      <c r="G63" s="10" t="s">
        <v>594</v>
      </c>
      <c r="H63" s="10" t="n">
        <v>4</v>
      </c>
      <c r="I63" s="10" t="n">
        <v>2</v>
      </c>
      <c r="J63" s="10" t="n">
        <v>9</v>
      </c>
      <c r="K63" s="10" t="n">
        <v>94</v>
      </c>
      <c r="L63" s="10" t="n">
        <v>83</v>
      </c>
      <c r="M63" s="10" t="n">
        <v>198</v>
      </c>
    </row>
    <row r="64" customFormat="false" ht="15" hidden="false" customHeight="false" outlineLevel="0" collapsed="false">
      <c r="A64" s="10" t="s">
        <v>595</v>
      </c>
      <c r="B64" s="10" t="s">
        <v>395</v>
      </c>
      <c r="C64" s="10" t="s">
        <v>596</v>
      </c>
      <c r="D64" s="10" t="s">
        <v>397</v>
      </c>
      <c r="E64" s="10" t="s">
        <v>258</v>
      </c>
      <c r="F64" s="10" t="n">
        <v>14</v>
      </c>
      <c r="G64" s="10" t="s">
        <v>597</v>
      </c>
      <c r="H64" s="10" t="n">
        <v>4</v>
      </c>
      <c r="I64" s="10" t="n">
        <v>2</v>
      </c>
      <c r="J64" s="10" t="n">
        <v>9</v>
      </c>
      <c r="K64" s="10" t="n">
        <v>96</v>
      </c>
      <c r="L64" s="10" t="n">
        <v>100</v>
      </c>
      <c r="M64" s="10" t="n">
        <v>259</v>
      </c>
    </row>
    <row r="65" customFormat="false" ht="15" hidden="false" customHeight="false" outlineLevel="0" collapsed="false">
      <c r="A65" s="10" t="s">
        <v>598</v>
      </c>
      <c r="B65" s="10" t="s">
        <v>395</v>
      </c>
      <c r="C65" s="10" t="s">
        <v>599</v>
      </c>
      <c r="D65" s="10" t="s">
        <v>499</v>
      </c>
      <c r="E65" s="10" t="s">
        <v>258</v>
      </c>
      <c r="F65" s="10" t="n">
        <v>14</v>
      </c>
      <c r="G65" s="10" t="s">
        <v>600</v>
      </c>
      <c r="H65" s="10" t="n">
        <v>4</v>
      </c>
      <c r="I65" s="10" t="n">
        <v>2</v>
      </c>
      <c r="J65" s="10" t="n">
        <v>11</v>
      </c>
      <c r="K65" s="10" t="n">
        <v>98</v>
      </c>
      <c r="L65" s="10" t="n">
        <v>100</v>
      </c>
      <c r="M65" s="10" t="n">
        <v>198</v>
      </c>
    </row>
    <row r="66" customFormat="false" ht="15" hidden="false" customHeight="false" outlineLevel="0" collapsed="false">
      <c r="A66" s="10" t="s">
        <v>601</v>
      </c>
      <c r="B66" s="10" t="s">
        <v>395</v>
      </c>
      <c r="C66" s="10" t="s">
        <v>602</v>
      </c>
      <c r="D66" s="10" t="s">
        <v>499</v>
      </c>
      <c r="E66" s="10" t="s">
        <v>258</v>
      </c>
      <c r="F66" s="10" t="n">
        <v>13</v>
      </c>
      <c r="G66" s="10" t="s">
        <v>603</v>
      </c>
      <c r="H66" s="10" t="n">
        <v>4</v>
      </c>
      <c r="I66" s="10" t="n">
        <v>2</v>
      </c>
      <c r="J66" s="10" t="n">
        <v>7</v>
      </c>
      <c r="K66" s="10" t="n">
        <v>96</v>
      </c>
      <c r="L66" s="10" t="n">
        <v>100</v>
      </c>
      <c r="M66" s="10" t="n">
        <v>189</v>
      </c>
    </row>
    <row r="67" customFormat="false" ht="15" hidden="false" customHeight="false" outlineLevel="0" collapsed="false">
      <c r="A67" s="10" t="s">
        <v>604</v>
      </c>
      <c r="B67" s="10" t="s">
        <v>395</v>
      </c>
      <c r="C67" s="10" t="s">
        <v>605</v>
      </c>
      <c r="D67" s="10" t="s">
        <v>499</v>
      </c>
      <c r="E67" s="10" t="s">
        <v>258</v>
      </c>
      <c r="F67" s="10" t="n">
        <v>14</v>
      </c>
      <c r="G67" s="10" t="s">
        <v>606</v>
      </c>
      <c r="H67" s="10" t="n">
        <v>4</v>
      </c>
      <c r="I67" s="10" t="n">
        <v>2</v>
      </c>
      <c r="J67" s="10" t="n">
        <v>13</v>
      </c>
      <c r="K67" s="10" t="n">
        <v>97</v>
      </c>
      <c r="L67" s="10" t="n">
        <v>100</v>
      </c>
      <c r="M67" s="10" t="n">
        <v>237</v>
      </c>
    </row>
    <row r="68" customFormat="false" ht="15" hidden="false" customHeight="false" outlineLevel="0" collapsed="false">
      <c r="A68" s="10" t="s">
        <v>607</v>
      </c>
      <c r="B68" s="10" t="s">
        <v>395</v>
      </c>
      <c r="C68" s="10" t="s">
        <v>608</v>
      </c>
      <c r="D68" s="10" t="s">
        <v>499</v>
      </c>
      <c r="E68" s="10" t="s">
        <v>258</v>
      </c>
      <c r="F68" s="10" t="n">
        <v>14</v>
      </c>
      <c r="G68" s="10" t="s">
        <v>609</v>
      </c>
      <c r="H68" s="10" t="n">
        <v>4</v>
      </c>
      <c r="I68" s="10" t="n">
        <v>2</v>
      </c>
      <c r="J68" s="10" t="n">
        <v>9</v>
      </c>
      <c r="K68" s="10" t="n">
        <v>98</v>
      </c>
      <c r="L68" s="10" t="n">
        <v>100</v>
      </c>
      <c r="M68" s="10" t="n">
        <v>217</v>
      </c>
    </row>
    <row r="69" customFormat="false" ht="15" hidden="false" customHeight="false" outlineLevel="0" collapsed="false">
      <c r="A69" s="10" t="s">
        <v>610</v>
      </c>
      <c r="B69" s="10" t="s">
        <v>395</v>
      </c>
      <c r="C69" s="10" t="s">
        <v>611</v>
      </c>
      <c r="D69" s="10" t="s">
        <v>499</v>
      </c>
      <c r="E69" s="10" t="s">
        <v>258</v>
      </c>
      <c r="F69" s="10" t="n">
        <v>14</v>
      </c>
      <c r="G69" s="10" t="s">
        <v>612</v>
      </c>
      <c r="H69" s="10" t="n">
        <v>4</v>
      </c>
      <c r="I69" s="10" t="n">
        <v>2</v>
      </c>
      <c r="J69" s="10" t="n">
        <v>8</v>
      </c>
      <c r="K69" s="10" t="n">
        <v>97</v>
      </c>
      <c r="L69" s="10" t="n">
        <v>100</v>
      </c>
      <c r="M69" s="10" t="n">
        <v>218</v>
      </c>
    </row>
    <row r="70" customFormat="false" ht="15" hidden="false" customHeight="false" outlineLevel="0" collapsed="false">
      <c r="A70" s="10" t="s">
        <v>613</v>
      </c>
      <c r="B70" s="10" t="s">
        <v>395</v>
      </c>
      <c r="C70" s="10" t="s">
        <v>614</v>
      </c>
      <c r="D70" s="10" t="s">
        <v>417</v>
      </c>
      <c r="E70" s="10" t="s">
        <v>258</v>
      </c>
      <c r="F70" s="10" t="n">
        <v>14</v>
      </c>
      <c r="G70" s="10" t="s">
        <v>615</v>
      </c>
      <c r="H70" s="10" t="n">
        <v>4</v>
      </c>
      <c r="I70" s="10" t="n">
        <v>2</v>
      </c>
      <c r="J70" s="10" t="n">
        <v>10</v>
      </c>
      <c r="K70" s="10" t="n">
        <v>97</v>
      </c>
      <c r="L70" s="10" t="n">
        <v>100</v>
      </c>
      <c r="M70" s="10" t="n">
        <v>232</v>
      </c>
    </row>
    <row r="71" customFormat="false" ht="15" hidden="false" customHeight="false" outlineLevel="0" collapsed="false">
      <c r="A71" s="10" t="s">
        <v>616</v>
      </c>
      <c r="B71" s="10" t="s">
        <v>395</v>
      </c>
      <c r="C71" s="10" t="s">
        <v>617</v>
      </c>
      <c r="D71" s="10" t="s">
        <v>417</v>
      </c>
      <c r="E71" s="10" t="s">
        <v>258</v>
      </c>
      <c r="F71" s="10" t="n">
        <v>14</v>
      </c>
      <c r="G71" s="10" t="s">
        <v>618</v>
      </c>
      <c r="H71" s="10" t="n">
        <v>4</v>
      </c>
      <c r="I71" s="10" t="n">
        <v>2</v>
      </c>
      <c r="J71" s="10" t="n">
        <v>9</v>
      </c>
      <c r="K71" s="10" t="n">
        <v>97</v>
      </c>
      <c r="L71" s="10" t="n">
        <v>100</v>
      </c>
      <c r="M71" s="10" t="n">
        <v>214</v>
      </c>
    </row>
    <row r="72" customFormat="false" ht="15" hidden="false" customHeight="false" outlineLevel="0" collapsed="false">
      <c r="A72" s="10" t="s">
        <v>619</v>
      </c>
      <c r="B72" s="10" t="s">
        <v>395</v>
      </c>
      <c r="C72" s="10" t="s">
        <v>620</v>
      </c>
      <c r="D72" s="10" t="s">
        <v>417</v>
      </c>
      <c r="E72" s="10" t="s">
        <v>258</v>
      </c>
      <c r="F72" s="10" t="n">
        <v>15</v>
      </c>
      <c r="G72" s="10" t="s">
        <v>586</v>
      </c>
      <c r="H72" s="10" t="n">
        <v>4</v>
      </c>
      <c r="I72" s="10" t="n">
        <v>2</v>
      </c>
      <c r="J72" s="10" t="n">
        <v>5</v>
      </c>
      <c r="K72" s="10" t="n">
        <v>95</v>
      </c>
      <c r="L72" s="10" t="n">
        <v>100</v>
      </c>
      <c r="M72" s="10" t="n">
        <v>243</v>
      </c>
    </row>
    <row r="73" customFormat="false" ht="15" hidden="false" customHeight="false" outlineLevel="0" collapsed="false">
      <c r="A73" s="10" t="s">
        <v>621</v>
      </c>
      <c r="B73" s="10" t="s">
        <v>395</v>
      </c>
      <c r="C73" s="10" t="s">
        <v>622</v>
      </c>
      <c r="D73" s="10" t="s">
        <v>397</v>
      </c>
      <c r="E73" s="10" t="s">
        <v>258</v>
      </c>
      <c r="F73" s="10" t="n">
        <v>15</v>
      </c>
      <c r="G73" s="10" t="s">
        <v>623</v>
      </c>
      <c r="H73" s="10" t="n">
        <v>4</v>
      </c>
      <c r="I73" s="10" t="n">
        <v>2</v>
      </c>
      <c r="J73" s="10" t="n">
        <v>9</v>
      </c>
      <c r="K73" s="10" t="n">
        <v>96</v>
      </c>
      <c r="L73" s="10" t="n">
        <v>100</v>
      </c>
      <c r="M73" s="10" t="n">
        <v>158</v>
      </c>
    </row>
    <row r="74" customFormat="false" ht="15" hidden="false" customHeight="false" outlineLevel="0" collapsed="false">
      <c r="A74" s="10" t="s">
        <v>624</v>
      </c>
      <c r="B74" s="10" t="s">
        <v>395</v>
      </c>
      <c r="C74" s="10" t="s">
        <v>625</v>
      </c>
      <c r="D74" s="10" t="s">
        <v>499</v>
      </c>
      <c r="E74" s="10" t="s">
        <v>258</v>
      </c>
      <c r="F74" s="10" t="n">
        <v>13</v>
      </c>
      <c r="G74" s="10" t="s">
        <v>626</v>
      </c>
      <c r="H74" s="10" t="n">
        <v>4</v>
      </c>
      <c r="I74" s="10" t="n">
        <v>2</v>
      </c>
      <c r="J74" s="10" t="n">
        <v>9</v>
      </c>
      <c r="K74" s="10" t="n">
        <v>96</v>
      </c>
      <c r="L74" s="10" t="n">
        <v>100</v>
      </c>
      <c r="M74" s="10" t="n">
        <v>235</v>
      </c>
    </row>
    <row r="75" customFormat="false" ht="15" hidden="false" customHeight="false" outlineLevel="0" collapsed="false">
      <c r="A75" s="10" t="s">
        <v>627</v>
      </c>
      <c r="B75" s="10" t="s">
        <v>395</v>
      </c>
      <c r="C75" s="10" t="s">
        <v>628</v>
      </c>
      <c r="D75" s="10" t="s">
        <v>397</v>
      </c>
      <c r="E75" s="10" t="s">
        <v>258</v>
      </c>
      <c r="F75" s="10" t="n">
        <v>15</v>
      </c>
      <c r="G75" s="10" t="s">
        <v>629</v>
      </c>
      <c r="H75" s="10" t="n">
        <v>4</v>
      </c>
      <c r="I75" s="10" t="n">
        <v>2</v>
      </c>
      <c r="J75" s="10" t="n">
        <v>8</v>
      </c>
      <c r="K75" s="10" t="n">
        <v>95</v>
      </c>
      <c r="L75" s="10" t="n">
        <v>100</v>
      </c>
      <c r="M75" s="10" t="n">
        <v>187</v>
      </c>
    </row>
    <row r="76" customFormat="false" ht="15" hidden="false" customHeight="false" outlineLevel="0" collapsed="false">
      <c r="A76" s="10" t="s">
        <v>630</v>
      </c>
      <c r="B76" s="10" t="s">
        <v>395</v>
      </c>
      <c r="C76" s="10" t="s">
        <v>631</v>
      </c>
      <c r="D76" s="10" t="s">
        <v>417</v>
      </c>
      <c r="E76" s="10" t="s">
        <v>258</v>
      </c>
      <c r="F76" s="10" t="n">
        <v>14</v>
      </c>
      <c r="G76" s="10" t="s">
        <v>632</v>
      </c>
      <c r="H76" s="10" t="n">
        <v>4</v>
      </c>
      <c r="I76" s="10" t="n">
        <v>2</v>
      </c>
      <c r="J76" s="10" t="n">
        <v>9</v>
      </c>
      <c r="K76" s="10" t="n">
        <v>97</v>
      </c>
      <c r="L76" s="10" t="n">
        <v>100</v>
      </c>
      <c r="M76" s="10" t="n">
        <v>230</v>
      </c>
    </row>
    <row r="77" customFormat="false" ht="15" hidden="false" customHeight="false" outlineLevel="0" collapsed="false">
      <c r="A77" s="10" t="s">
        <v>633</v>
      </c>
      <c r="B77" s="10" t="s">
        <v>395</v>
      </c>
      <c r="C77" s="10" t="s">
        <v>634</v>
      </c>
      <c r="D77" s="10" t="s">
        <v>397</v>
      </c>
      <c r="E77" s="10" t="s">
        <v>258</v>
      </c>
      <c r="F77" s="10" t="n">
        <v>14</v>
      </c>
      <c r="G77" s="10" t="s">
        <v>635</v>
      </c>
      <c r="H77" s="10" t="n">
        <v>4</v>
      </c>
      <c r="I77" s="10" t="n">
        <v>2</v>
      </c>
      <c r="J77" s="10" t="n">
        <v>9</v>
      </c>
      <c r="K77" s="10" t="n">
        <v>96</v>
      </c>
      <c r="L77" s="10" t="n">
        <v>100</v>
      </c>
      <c r="M77" s="10" t="n">
        <v>198</v>
      </c>
    </row>
    <row r="78" customFormat="false" ht="15" hidden="false" customHeight="false" outlineLevel="0" collapsed="false">
      <c r="A78" s="10" t="s">
        <v>636</v>
      </c>
      <c r="B78" s="10" t="s">
        <v>395</v>
      </c>
      <c r="C78" s="10" t="s">
        <v>637</v>
      </c>
      <c r="D78" s="10" t="s">
        <v>499</v>
      </c>
      <c r="E78" s="10" t="s">
        <v>258</v>
      </c>
      <c r="F78" s="10" t="n">
        <v>14</v>
      </c>
      <c r="G78" s="10" t="s">
        <v>638</v>
      </c>
      <c r="H78" s="10" t="n">
        <v>4</v>
      </c>
      <c r="I78" s="10" t="n">
        <v>2</v>
      </c>
      <c r="J78" s="10" t="n">
        <v>7</v>
      </c>
      <c r="K78" s="10" t="n">
        <v>94</v>
      </c>
      <c r="L78" s="10" t="n">
        <v>100</v>
      </c>
      <c r="M78" s="10" t="n">
        <v>273</v>
      </c>
    </row>
    <row r="79" customFormat="false" ht="15" hidden="false" customHeight="false" outlineLevel="0" collapsed="false">
      <c r="A79" s="10" t="s">
        <v>639</v>
      </c>
      <c r="B79" s="10" t="s">
        <v>395</v>
      </c>
      <c r="C79" s="10" t="s">
        <v>640</v>
      </c>
      <c r="D79" s="10" t="s">
        <v>397</v>
      </c>
      <c r="E79" s="10" t="s">
        <v>258</v>
      </c>
      <c r="F79" s="10" t="n">
        <v>14</v>
      </c>
      <c r="G79" s="10" t="s">
        <v>597</v>
      </c>
      <c r="H79" s="10" t="n">
        <v>4</v>
      </c>
      <c r="I79" s="10" t="n">
        <v>2</v>
      </c>
      <c r="J79" s="10" t="n">
        <v>7</v>
      </c>
      <c r="K79" s="10" t="n">
        <v>96</v>
      </c>
      <c r="L79" s="10" t="n">
        <v>100</v>
      </c>
      <c r="M79" s="10" t="n">
        <v>207</v>
      </c>
    </row>
    <row r="80" customFormat="false" ht="15" hidden="false" customHeight="false" outlineLevel="0" collapsed="false">
      <c r="A80" s="10" t="s">
        <v>641</v>
      </c>
      <c r="B80" s="10" t="s">
        <v>395</v>
      </c>
      <c r="C80" s="10" t="s">
        <v>642</v>
      </c>
      <c r="D80" s="10" t="s">
        <v>417</v>
      </c>
      <c r="E80" s="10" t="s">
        <v>258</v>
      </c>
      <c r="F80" s="10" t="n">
        <v>15</v>
      </c>
      <c r="G80" s="10" t="s">
        <v>581</v>
      </c>
      <c r="H80" s="10" t="n">
        <v>4</v>
      </c>
      <c r="I80" s="10" t="n">
        <v>2</v>
      </c>
      <c r="J80" s="10" t="n">
        <v>5</v>
      </c>
      <c r="K80" s="10" t="n">
        <v>96</v>
      </c>
      <c r="L80" s="10" t="n">
        <v>100</v>
      </c>
      <c r="M80" s="10" t="n">
        <v>171</v>
      </c>
    </row>
    <row r="81" customFormat="false" ht="15" hidden="false" customHeight="false" outlineLevel="0" collapsed="false">
      <c r="A81" s="10" t="s">
        <v>643</v>
      </c>
      <c r="B81" s="10" t="s">
        <v>395</v>
      </c>
      <c r="C81" s="10" t="s">
        <v>644</v>
      </c>
      <c r="D81" s="10" t="s">
        <v>417</v>
      </c>
      <c r="E81" s="10" t="s">
        <v>258</v>
      </c>
      <c r="F81" s="10" t="n">
        <v>14</v>
      </c>
      <c r="G81" s="10" t="s">
        <v>645</v>
      </c>
      <c r="H81" s="10" t="n">
        <v>4</v>
      </c>
      <c r="I81" s="10" t="n">
        <v>2</v>
      </c>
      <c r="J81" s="10" t="n">
        <v>8</v>
      </c>
      <c r="K81" s="10" t="n">
        <v>98</v>
      </c>
      <c r="L81" s="10" t="n">
        <v>100</v>
      </c>
      <c r="M81" s="10" t="n">
        <v>211</v>
      </c>
    </row>
    <row r="82" customFormat="false" ht="15" hidden="false" customHeight="false" outlineLevel="0" collapsed="false">
      <c r="A82" s="10" t="s">
        <v>646</v>
      </c>
      <c r="B82" s="10" t="s">
        <v>395</v>
      </c>
      <c r="C82" s="10" t="s">
        <v>647</v>
      </c>
      <c r="D82" s="10" t="s">
        <v>397</v>
      </c>
      <c r="E82" s="10" t="s">
        <v>258</v>
      </c>
      <c r="F82" s="10" t="n">
        <v>14</v>
      </c>
      <c r="G82" s="10" t="s">
        <v>648</v>
      </c>
      <c r="H82" s="10" t="n">
        <v>4</v>
      </c>
      <c r="I82" s="10" t="n">
        <v>2</v>
      </c>
      <c r="J82" s="10" t="n">
        <v>9</v>
      </c>
      <c r="K82" s="10" t="n">
        <v>96</v>
      </c>
      <c r="L82" s="10" t="n">
        <v>100</v>
      </c>
      <c r="M82" s="10" t="n">
        <v>193</v>
      </c>
    </row>
    <row r="83" customFormat="false" ht="15" hidden="false" customHeight="false" outlineLevel="0" collapsed="false">
      <c r="A83" s="10" t="s">
        <v>649</v>
      </c>
      <c r="B83" s="10" t="s">
        <v>395</v>
      </c>
      <c r="C83" s="10" t="s">
        <v>650</v>
      </c>
      <c r="D83" s="10" t="s">
        <v>499</v>
      </c>
      <c r="E83" s="10" t="s">
        <v>258</v>
      </c>
      <c r="F83" s="10" t="n">
        <v>13</v>
      </c>
      <c r="G83" s="10" t="s">
        <v>651</v>
      </c>
      <c r="H83" s="10" t="n">
        <v>4</v>
      </c>
      <c r="I83" s="10" t="n">
        <v>2</v>
      </c>
      <c r="J83" s="10" t="n">
        <v>8</v>
      </c>
      <c r="K83" s="10" t="n">
        <v>98</v>
      </c>
      <c r="L83" s="10" t="n">
        <v>100</v>
      </c>
      <c r="M83" s="10" t="n">
        <v>237</v>
      </c>
    </row>
    <row r="84" customFormat="false" ht="15" hidden="false" customHeight="false" outlineLevel="0" collapsed="false">
      <c r="A84" s="10" t="s">
        <v>652</v>
      </c>
      <c r="B84" s="10" t="s">
        <v>395</v>
      </c>
      <c r="C84" s="10" t="s">
        <v>653</v>
      </c>
      <c r="D84" s="10" t="s">
        <v>397</v>
      </c>
      <c r="E84" s="10" t="s">
        <v>258</v>
      </c>
      <c r="F84" s="10" t="n">
        <v>13</v>
      </c>
      <c r="G84" s="10" t="s">
        <v>654</v>
      </c>
      <c r="H84" s="10" t="n">
        <v>4</v>
      </c>
      <c r="I84" s="10" t="n">
        <v>2</v>
      </c>
      <c r="J84" s="10" t="n">
        <v>9</v>
      </c>
      <c r="K84" s="10" t="n">
        <v>96</v>
      </c>
      <c r="L84" s="10" t="n">
        <v>100</v>
      </c>
      <c r="M84" s="10" t="n">
        <v>237</v>
      </c>
    </row>
    <row r="85" customFormat="false" ht="15" hidden="false" customHeight="false" outlineLevel="0" collapsed="false">
      <c r="A85" s="10" t="s">
        <v>655</v>
      </c>
      <c r="B85" s="10" t="s">
        <v>395</v>
      </c>
      <c r="C85" s="10" t="s">
        <v>656</v>
      </c>
      <c r="D85" s="10" t="s">
        <v>417</v>
      </c>
      <c r="E85" s="10" t="s">
        <v>258</v>
      </c>
      <c r="F85" s="10" t="n">
        <v>14</v>
      </c>
      <c r="G85" s="10" t="s">
        <v>618</v>
      </c>
      <c r="H85" s="10" t="n">
        <v>4</v>
      </c>
      <c r="I85" s="10" t="n">
        <v>2</v>
      </c>
      <c r="J85" s="10" t="n">
        <v>12</v>
      </c>
      <c r="K85" s="10" t="n">
        <v>98</v>
      </c>
      <c r="L85" s="10" t="n">
        <v>100</v>
      </c>
      <c r="M85" s="10" t="n">
        <v>198</v>
      </c>
    </row>
    <row r="86" customFormat="false" ht="15" hidden="false" customHeight="false" outlineLevel="0" collapsed="false">
      <c r="A86" s="10" t="s">
        <v>657</v>
      </c>
      <c r="B86" s="10" t="s">
        <v>395</v>
      </c>
      <c r="C86" s="10" t="s">
        <v>658</v>
      </c>
      <c r="D86" s="10" t="s">
        <v>417</v>
      </c>
      <c r="E86" s="10" t="s">
        <v>258</v>
      </c>
      <c r="F86" s="10" t="n">
        <v>14</v>
      </c>
      <c r="G86" s="10" t="s">
        <v>659</v>
      </c>
      <c r="H86" s="10" t="n">
        <v>4</v>
      </c>
      <c r="I86" s="10" t="n">
        <v>2</v>
      </c>
      <c r="J86" s="10" t="n">
        <v>9</v>
      </c>
      <c r="K86" s="10" t="n">
        <v>97</v>
      </c>
      <c r="L86" s="10" t="n">
        <v>100</v>
      </c>
      <c r="M86" s="10" t="n">
        <v>253</v>
      </c>
    </row>
    <row r="87" customFormat="false" ht="15" hidden="false" customHeight="false" outlineLevel="0" collapsed="false">
      <c r="A87" s="10" t="s">
        <v>660</v>
      </c>
      <c r="B87" s="10" t="s">
        <v>395</v>
      </c>
      <c r="C87" s="10" t="s">
        <v>661</v>
      </c>
      <c r="D87" s="10" t="s">
        <v>499</v>
      </c>
      <c r="E87" s="10" t="s">
        <v>258</v>
      </c>
      <c r="F87" s="10" t="n">
        <v>13</v>
      </c>
      <c r="G87" s="10" t="s">
        <v>662</v>
      </c>
      <c r="H87" s="10" t="n">
        <v>4</v>
      </c>
      <c r="I87" s="10" t="n">
        <v>2</v>
      </c>
      <c r="J87" s="10" t="n">
        <v>7</v>
      </c>
      <c r="K87" s="10" t="n">
        <v>96</v>
      </c>
      <c r="L87" s="10" t="n">
        <v>100</v>
      </c>
      <c r="M87" s="10" t="n">
        <v>187</v>
      </c>
    </row>
    <row r="88" customFormat="false" ht="15" hidden="false" customHeight="false" outlineLevel="0" collapsed="false">
      <c r="A88" s="10" t="s">
        <v>663</v>
      </c>
      <c r="B88" s="10" t="s">
        <v>395</v>
      </c>
      <c r="C88" s="10" t="s">
        <v>664</v>
      </c>
      <c r="D88" s="10" t="s">
        <v>499</v>
      </c>
      <c r="E88" s="10" t="s">
        <v>258</v>
      </c>
      <c r="F88" s="10" t="n">
        <v>13</v>
      </c>
      <c r="G88" s="10" t="s">
        <v>665</v>
      </c>
      <c r="H88" s="10" t="n">
        <v>4</v>
      </c>
      <c r="I88" s="10" t="n">
        <v>2</v>
      </c>
      <c r="J88" s="10" t="n">
        <v>8</v>
      </c>
      <c r="K88" s="10" t="n">
        <v>97</v>
      </c>
      <c r="L88" s="10" t="n">
        <v>100</v>
      </c>
      <c r="M88" s="10" t="n">
        <v>191</v>
      </c>
    </row>
    <row r="89" customFormat="false" ht="15" hidden="false" customHeight="false" outlineLevel="0" collapsed="false">
      <c r="A89" s="10" t="s">
        <v>666</v>
      </c>
      <c r="B89" s="10" t="s">
        <v>395</v>
      </c>
      <c r="C89" s="10" t="s">
        <v>667</v>
      </c>
      <c r="D89" s="10" t="s">
        <v>499</v>
      </c>
      <c r="E89" s="10" t="s">
        <v>258</v>
      </c>
      <c r="F89" s="10" t="n">
        <v>14</v>
      </c>
      <c r="G89" s="10" t="s">
        <v>668</v>
      </c>
      <c r="H89" s="10" t="n">
        <v>4</v>
      </c>
      <c r="I89" s="10" t="n">
        <v>2</v>
      </c>
      <c r="J89" s="10" t="n">
        <v>8</v>
      </c>
      <c r="K89" s="10" t="n">
        <v>93</v>
      </c>
      <c r="L89" s="10" t="n">
        <v>100</v>
      </c>
      <c r="M89" s="10" t="n">
        <v>248</v>
      </c>
    </row>
    <row r="90" customFormat="false" ht="15" hidden="false" customHeight="false" outlineLevel="0" collapsed="false">
      <c r="A90" s="10" t="s">
        <v>669</v>
      </c>
      <c r="B90" s="10" t="s">
        <v>395</v>
      </c>
      <c r="C90" s="10" t="s">
        <v>670</v>
      </c>
      <c r="D90" s="10" t="s">
        <v>397</v>
      </c>
      <c r="E90" s="10" t="s">
        <v>258</v>
      </c>
      <c r="F90" s="10" t="n">
        <v>15</v>
      </c>
      <c r="G90" s="10" t="s">
        <v>487</v>
      </c>
      <c r="H90" s="10" t="n">
        <v>4</v>
      </c>
      <c r="I90" s="10" t="n">
        <v>2</v>
      </c>
      <c r="J90" s="10" t="n">
        <v>5</v>
      </c>
      <c r="K90" s="10" t="n">
        <v>96</v>
      </c>
      <c r="L90" s="10" t="n">
        <v>100</v>
      </c>
      <c r="M90" s="10" t="n">
        <v>211</v>
      </c>
    </row>
    <row r="91" customFormat="false" ht="15" hidden="false" customHeight="false" outlineLevel="0" collapsed="false">
      <c r="A91" s="10" t="s">
        <v>671</v>
      </c>
      <c r="B91" s="10" t="s">
        <v>395</v>
      </c>
      <c r="C91" s="10" t="s">
        <v>672</v>
      </c>
      <c r="D91" s="10" t="s">
        <v>417</v>
      </c>
      <c r="E91" s="10" t="s">
        <v>258</v>
      </c>
      <c r="F91" s="10" t="n">
        <v>14</v>
      </c>
      <c r="G91" s="10" t="s">
        <v>673</v>
      </c>
      <c r="H91" s="10" t="n">
        <v>4</v>
      </c>
      <c r="I91" s="10" t="n">
        <v>2</v>
      </c>
      <c r="J91" s="10" t="n">
        <v>9</v>
      </c>
      <c r="K91" s="10" t="n">
        <v>98</v>
      </c>
      <c r="L91" s="10" t="n">
        <v>100</v>
      </c>
      <c r="M91" s="10" t="n">
        <v>245</v>
      </c>
    </row>
    <row r="92" customFormat="false" ht="15" hidden="false" customHeight="false" outlineLevel="0" collapsed="false">
      <c r="A92" s="10" t="s">
        <v>674</v>
      </c>
      <c r="B92" s="10" t="s">
        <v>395</v>
      </c>
      <c r="C92" s="10" t="s">
        <v>675</v>
      </c>
      <c r="D92" s="10" t="s">
        <v>499</v>
      </c>
      <c r="E92" s="10" t="s">
        <v>258</v>
      </c>
      <c r="F92" s="10" t="n">
        <v>14</v>
      </c>
      <c r="G92" s="10" t="s">
        <v>676</v>
      </c>
      <c r="H92" s="10" t="n">
        <v>4</v>
      </c>
      <c r="I92" s="10" t="n">
        <v>2</v>
      </c>
      <c r="J92" s="10" t="n">
        <v>9</v>
      </c>
      <c r="K92" s="10" t="n">
        <v>97</v>
      </c>
      <c r="L92" s="10" t="n">
        <v>100</v>
      </c>
      <c r="M92" s="10" t="n">
        <v>182</v>
      </c>
    </row>
    <row r="93" customFormat="false" ht="15" hidden="false" customHeight="false" outlineLevel="0" collapsed="false">
      <c r="A93" s="10" t="s">
        <v>677</v>
      </c>
      <c r="B93" s="10" t="s">
        <v>395</v>
      </c>
      <c r="C93" s="10" t="s">
        <v>678</v>
      </c>
      <c r="D93" s="10" t="s">
        <v>679</v>
      </c>
      <c r="E93" s="10"/>
      <c r="F93" s="10" t="n">
        <v>15</v>
      </c>
      <c r="G93" s="10" t="s">
        <v>680</v>
      </c>
      <c r="H93" s="10" t="n">
        <v>4</v>
      </c>
      <c r="I93" s="10" t="n">
        <v>2</v>
      </c>
      <c r="J93" s="10" t="n">
        <v>9</v>
      </c>
      <c r="K93" s="10" t="n">
        <v>95</v>
      </c>
      <c r="L93" s="10" t="n">
        <v>100</v>
      </c>
      <c r="M93" s="10" t="n">
        <v>246</v>
      </c>
    </row>
    <row r="94" customFormat="false" ht="15" hidden="false" customHeight="false" outlineLevel="0" collapsed="false">
      <c r="A94" s="10" t="s">
        <v>681</v>
      </c>
      <c r="B94" s="10" t="s">
        <v>395</v>
      </c>
      <c r="C94" s="10" t="s">
        <v>682</v>
      </c>
      <c r="D94" s="10" t="s">
        <v>683</v>
      </c>
      <c r="E94" s="10" t="s">
        <v>209</v>
      </c>
      <c r="F94" s="10" t="n">
        <v>13</v>
      </c>
      <c r="G94" s="10" t="s">
        <v>684</v>
      </c>
      <c r="H94" s="10" t="n">
        <v>4</v>
      </c>
      <c r="I94" s="10" t="n">
        <v>2</v>
      </c>
      <c r="J94" s="10" t="n">
        <v>5</v>
      </c>
      <c r="K94" s="10" t="n">
        <v>94</v>
      </c>
      <c r="L94" s="10" t="n">
        <v>100</v>
      </c>
      <c r="M94" s="10" t="n">
        <v>172</v>
      </c>
    </row>
    <row r="95" customFormat="false" ht="15" hidden="false" customHeight="false" outlineLevel="0" collapsed="false">
      <c r="A95" s="10" t="s">
        <v>685</v>
      </c>
      <c r="B95" s="10" t="s">
        <v>395</v>
      </c>
      <c r="C95" s="10" t="s">
        <v>686</v>
      </c>
      <c r="D95" s="10" t="s">
        <v>683</v>
      </c>
      <c r="E95" s="10" t="s">
        <v>209</v>
      </c>
      <c r="F95" s="10" t="n">
        <v>14</v>
      </c>
      <c r="G95" s="10" t="s">
        <v>687</v>
      </c>
      <c r="H95" s="10" t="n">
        <v>4</v>
      </c>
      <c r="I95" s="10" t="n">
        <v>2</v>
      </c>
      <c r="J95" s="10" t="n">
        <v>8</v>
      </c>
      <c r="K95" s="10" t="n">
        <v>94</v>
      </c>
      <c r="L95" s="10" t="n">
        <v>100</v>
      </c>
      <c r="M95" s="10" t="n">
        <v>202</v>
      </c>
    </row>
    <row r="96" customFormat="false" ht="15" hidden="false" customHeight="false" outlineLevel="0" collapsed="false">
      <c r="A96" s="10" t="s">
        <v>688</v>
      </c>
      <c r="B96" s="10" t="s">
        <v>395</v>
      </c>
      <c r="C96" s="10" t="s">
        <v>689</v>
      </c>
      <c r="D96" s="10" t="s">
        <v>465</v>
      </c>
      <c r="E96" s="10"/>
      <c r="F96" s="10" t="n">
        <v>14</v>
      </c>
      <c r="G96" s="10" t="s">
        <v>690</v>
      </c>
      <c r="H96" s="10" t="n">
        <v>4</v>
      </c>
      <c r="I96" s="10" t="n">
        <v>2</v>
      </c>
      <c r="J96" s="10" t="n">
        <v>5</v>
      </c>
      <c r="K96" s="10" t="n">
        <v>96</v>
      </c>
      <c r="L96" s="10" t="n">
        <v>100</v>
      </c>
      <c r="M96" s="10" t="n">
        <v>220</v>
      </c>
    </row>
    <row r="97" customFormat="false" ht="15" hidden="false" customHeight="false" outlineLevel="0" collapsed="false">
      <c r="A97" s="10" t="s">
        <v>691</v>
      </c>
      <c r="B97" s="10" t="s">
        <v>395</v>
      </c>
      <c r="C97" s="10" t="s">
        <v>692</v>
      </c>
      <c r="D97" s="10" t="s">
        <v>683</v>
      </c>
      <c r="E97" s="10" t="s">
        <v>209</v>
      </c>
      <c r="F97" s="10" t="n">
        <v>14</v>
      </c>
      <c r="G97" s="10" t="s">
        <v>693</v>
      </c>
      <c r="H97" s="10" t="n">
        <v>4</v>
      </c>
      <c r="I97" s="10" t="n">
        <v>2</v>
      </c>
      <c r="J97" s="10" t="n">
        <v>6</v>
      </c>
      <c r="K97" s="10" t="n">
        <v>96</v>
      </c>
      <c r="L97" s="10" t="n">
        <v>100</v>
      </c>
      <c r="M97" s="10" t="n">
        <v>224</v>
      </c>
    </row>
    <row r="98" customFormat="false" ht="15" hidden="false" customHeight="false" outlineLevel="0" collapsed="false">
      <c r="A98" s="10" t="s">
        <v>694</v>
      </c>
      <c r="B98" s="10" t="s">
        <v>395</v>
      </c>
      <c r="C98" s="10" t="s">
        <v>695</v>
      </c>
      <c r="D98" s="10" t="s">
        <v>683</v>
      </c>
      <c r="E98" s="10" t="s">
        <v>209</v>
      </c>
      <c r="F98" s="10" t="n">
        <v>14</v>
      </c>
      <c r="G98" s="10" t="s">
        <v>696</v>
      </c>
      <c r="H98" s="10" t="n">
        <v>4</v>
      </c>
      <c r="I98" s="10" t="n">
        <v>2</v>
      </c>
      <c r="J98" s="10" t="n">
        <v>7</v>
      </c>
      <c r="K98" s="10" t="n">
        <v>97</v>
      </c>
      <c r="L98" s="10" t="n">
        <v>100</v>
      </c>
      <c r="M98" s="10" t="n">
        <v>280</v>
      </c>
    </row>
    <row r="99" customFormat="false" ht="15" hidden="false" customHeight="false" outlineLevel="0" collapsed="false">
      <c r="A99" s="10" t="s">
        <v>697</v>
      </c>
      <c r="B99" s="10" t="s">
        <v>395</v>
      </c>
      <c r="C99" s="10" t="s">
        <v>698</v>
      </c>
      <c r="D99" s="10" t="s">
        <v>683</v>
      </c>
      <c r="E99" s="10" t="s">
        <v>209</v>
      </c>
      <c r="F99" s="10" t="n">
        <v>14</v>
      </c>
      <c r="G99" s="10" t="s">
        <v>699</v>
      </c>
      <c r="H99" s="10" t="n">
        <v>4</v>
      </c>
      <c r="I99" s="10" t="n">
        <v>2</v>
      </c>
      <c r="J99" s="10" t="n">
        <v>9</v>
      </c>
      <c r="K99" s="10" t="n">
        <v>96</v>
      </c>
      <c r="L99" s="10" t="n">
        <v>100</v>
      </c>
      <c r="M99" s="10" t="n">
        <v>277</v>
      </c>
    </row>
    <row r="100" customFormat="false" ht="15" hidden="false" customHeight="false" outlineLevel="0" collapsed="false">
      <c r="A100" s="10" t="s">
        <v>700</v>
      </c>
      <c r="B100" s="10" t="s">
        <v>395</v>
      </c>
      <c r="C100" s="10" t="s">
        <v>701</v>
      </c>
      <c r="D100" s="10" t="s">
        <v>683</v>
      </c>
      <c r="E100" s="10" t="s">
        <v>220</v>
      </c>
      <c r="F100" s="10" t="n">
        <v>13</v>
      </c>
      <c r="G100" s="10" t="s">
        <v>702</v>
      </c>
      <c r="H100" s="10" t="n">
        <v>4</v>
      </c>
      <c r="I100" s="10" t="n">
        <v>2</v>
      </c>
      <c r="J100" s="10" t="n">
        <v>6</v>
      </c>
      <c r="K100" s="10" t="n">
        <v>97</v>
      </c>
      <c r="L100" s="10" t="n">
        <v>100</v>
      </c>
      <c r="M100" s="10" t="n">
        <v>199</v>
      </c>
    </row>
    <row r="101" customFormat="false" ht="15" hidden="false" customHeight="false" outlineLevel="0" collapsed="false">
      <c r="A101" s="10" t="s">
        <v>703</v>
      </c>
      <c r="B101" s="10" t="s">
        <v>395</v>
      </c>
      <c r="C101" s="10" t="s">
        <v>704</v>
      </c>
      <c r="D101" s="10" t="s">
        <v>683</v>
      </c>
      <c r="E101" s="10" t="s">
        <v>220</v>
      </c>
      <c r="F101" s="10" t="n">
        <v>14</v>
      </c>
      <c r="G101" s="10" t="s">
        <v>705</v>
      </c>
      <c r="H101" s="10" t="n">
        <v>4</v>
      </c>
      <c r="I101" s="10" t="n">
        <v>2</v>
      </c>
      <c r="J101" s="10" t="n">
        <v>6</v>
      </c>
      <c r="K101" s="10" t="n">
        <v>97</v>
      </c>
      <c r="L101" s="10" t="n">
        <v>100</v>
      </c>
      <c r="M101" s="10" t="n">
        <v>198</v>
      </c>
    </row>
    <row r="102" customFormat="false" ht="15" hidden="false" customHeight="false" outlineLevel="0" collapsed="false">
      <c r="A102" s="10" t="s">
        <v>706</v>
      </c>
      <c r="B102" s="10" t="s">
        <v>395</v>
      </c>
      <c r="C102" s="10" t="s">
        <v>707</v>
      </c>
      <c r="D102" s="10" t="s">
        <v>683</v>
      </c>
      <c r="E102" s="10" t="s">
        <v>220</v>
      </c>
      <c r="F102" s="10" t="n">
        <v>13</v>
      </c>
      <c r="G102" s="10" t="s">
        <v>708</v>
      </c>
      <c r="H102" s="10" t="n">
        <v>4</v>
      </c>
      <c r="I102" s="10" t="n">
        <v>2</v>
      </c>
      <c r="J102" s="10" t="n">
        <v>7</v>
      </c>
      <c r="K102" s="10" t="n">
        <v>97</v>
      </c>
      <c r="L102" s="10" t="n">
        <v>100</v>
      </c>
      <c r="M102" s="10" t="n">
        <v>201</v>
      </c>
    </row>
    <row r="103" customFormat="false" ht="15" hidden="false" customHeight="false" outlineLevel="0" collapsed="false">
      <c r="A103" s="10" t="s">
        <v>709</v>
      </c>
      <c r="B103" s="10" t="s">
        <v>395</v>
      </c>
      <c r="C103" s="10" t="s">
        <v>710</v>
      </c>
      <c r="D103" s="10" t="s">
        <v>401</v>
      </c>
      <c r="E103" s="10" t="s">
        <v>161</v>
      </c>
      <c r="F103" s="10" t="n">
        <v>13</v>
      </c>
      <c r="G103" s="10" t="s">
        <v>711</v>
      </c>
      <c r="H103" s="10" t="n">
        <v>4</v>
      </c>
      <c r="I103" s="10" t="n">
        <v>2</v>
      </c>
      <c r="J103" s="10" t="n">
        <v>7</v>
      </c>
      <c r="K103" s="10" t="n">
        <v>98</v>
      </c>
      <c r="L103" s="10" t="n">
        <v>100</v>
      </c>
      <c r="M103" s="10" t="n">
        <v>228</v>
      </c>
    </row>
    <row r="104" customFormat="false" ht="15" hidden="false" customHeight="false" outlineLevel="0" collapsed="false">
      <c r="A104" s="10" t="s">
        <v>712</v>
      </c>
      <c r="B104" s="10" t="s">
        <v>395</v>
      </c>
      <c r="C104" s="10" t="s">
        <v>713</v>
      </c>
      <c r="D104" s="10" t="s">
        <v>401</v>
      </c>
      <c r="E104" s="10" t="s">
        <v>454</v>
      </c>
      <c r="F104" s="10" t="n">
        <v>12</v>
      </c>
      <c r="G104" s="10" t="s">
        <v>513</v>
      </c>
      <c r="H104" s="10" t="n">
        <v>4</v>
      </c>
      <c r="I104" s="10" t="n">
        <v>2</v>
      </c>
      <c r="J104" s="10" t="n">
        <v>6</v>
      </c>
      <c r="K104" s="10" t="n">
        <v>96</v>
      </c>
      <c r="L104" s="10" t="n">
        <v>100</v>
      </c>
      <c r="M104" s="10" t="n">
        <v>181</v>
      </c>
    </row>
    <row r="105" customFormat="false" ht="15" hidden="false" customHeight="false" outlineLevel="0" collapsed="false">
      <c r="A105" s="10" t="s">
        <v>714</v>
      </c>
      <c r="B105" s="10" t="s">
        <v>395</v>
      </c>
      <c r="C105" s="10" t="s">
        <v>715</v>
      </c>
      <c r="D105" s="10" t="s">
        <v>417</v>
      </c>
      <c r="E105" s="10" t="s">
        <v>139</v>
      </c>
      <c r="F105" s="10" t="n">
        <v>15</v>
      </c>
      <c r="G105" s="10" t="s">
        <v>716</v>
      </c>
      <c r="H105" s="10" t="n">
        <v>4</v>
      </c>
      <c r="I105" s="10" t="n">
        <v>2</v>
      </c>
      <c r="J105" s="10" t="n">
        <v>5</v>
      </c>
      <c r="K105" s="10" t="n">
        <v>94</v>
      </c>
      <c r="L105" s="10" t="n">
        <v>100</v>
      </c>
      <c r="M105" s="10" t="n">
        <v>234</v>
      </c>
    </row>
    <row r="106" customFormat="false" ht="15" hidden="false" customHeight="false" outlineLevel="0" collapsed="false">
      <c r="A106" s="10" t="s">
        <v>717</v>
      </c>
      <c r="B106" s="10" t="s">
        <v>395</v>
      </c>
      <c r="C106" s="10" t="s">
        <v>718</v>
      </c>
      <c r="D106" s="10" t="s">
        <v>499</v>
      </c>
      <c r="E106" s="10" t="s">
        <v>719</v>
      </c>
      <c r="F106" s="10" t="n">
        <v>12</v>
      </c>
      <c r="G106" s="10" t="s">
        <v>720</v>
      </c>
      <c r="H106" s="10" t="n">
        <v>4</v>
      </c>
      <c r="I106" s="10" t="n">
        <v>2</v>
      </c>
      <c r="J106" s="10" t="n">
        <v>7</v>
      </c>
      <c r="K106" s="10" t="n">
        <v>90</v>
      </c>
      <c r="L106" s="10" t="n">
        <v>100</v>
      </c>
      <c r="M106" s="10" t="n">
        <v>167</v>
      </c>
    </row>
    <row r="107" customFormat="false" ht="15" hidden="false" customHeight="false" outlineLevel="0" collapsed="false">
      <c r="A107" s="10" t="s">
        <v>721</v>
      </c>
      <c r="B107" s="10" t="s">
        <v>395</v>
      </c>
      <c r="C107" s="10" t="s">
        <v>722</v>
      </c>
      <c r="D107" s="10" t="s">
        <v>428</v>
      </c>
      <c r="E107" s="10" t="s">
        <v>123</v>
      </c>
      <c r="F107" s="10" t="n">
        <v>10</v>
      </c>
      <c r="G107" s="10" t="s">
        <v>723</v>
      </c>
      <c r="H107" s="10" t="n">
        <v>4</v>
      </c>
      <c r="I107" s="10" t="n">
        <v>2</v>
      </c>
      <c r="J107" s="10" t="n">
        <v>5</v>
      </c>
      <c r="K107" s="10" t="n">
        <v>93</v>
      </c>
      <c r="L107" s="10" t="n">
        <v>80</v>
      </c>
      <c r="M107" s="10" t="n">
        <v>118</v>
      </c>
    </row>
    <row r="108" customFormat="false" ht="15" hidden="false" customHeight="false" outlineLevel="0" collapsed="false">
      <c r="A108" s="10" t="s">
        <v>724</v>
      </c>
      <c r="B108" s="10" t="s">
        <v>395</v>
      </c>
      <c r="C108" s="10" t="s">
        <v>725</v>
      </c>
      <c r="D108" s="10" t="s">
        <v>428</v>
      </c>
      <c r="E108" s="10" t="s">
        <v>123</v>
      </c>
      <c r="F108" s="10" t="n">
        <v>15</v>
      </c>
      <c r="G108" s="10" t="s">
        <v>726</v>
      </c>
      <c r="H108" s="10" t="n">
        <v>4</v>
      </c>
      <c r="I108" s="10" t="n">
        <v>2</v>
      </c>
      <c r="J108" s="10" t="n">
        <v>9</v>
      </c>
      <c r="K108" s="10" t="n">
        <v>96</v>
      </c>
      <c r="L108" s="10" t="n">
        <v>89</v>
      </c>
      <c r="M108" s="10" t="n">
        <v>195</v>
      </c>
    </row>
    <row r="109" customFormat="false" ht="15" hidden="false" customHeight="false" outlineLevel="0" collapsed="false">
      <c r="A109" s="10" t="s">
        <v>727</v>
      </c>
      <c r="B109" s="10" t="s">
        <v>395</v>
      </c>
      <c r="C109" s="10" t="s">
        <v>728</v>
      </c>
      <c r="D109" s="10" t="s">
        <v>428</v>
      </c>
      <c r="E109" s="10" t="s">
        <v>345</v>
      </c>
      <c r="F109" s="10" t="n">
        <v>13</v>
      </c>
      <c r="G109" s="10" t="s">
        <v>729</v>
      </c>
      <c r="H109" s="10" t="n">
        <v>4</v>
      </c>
      <c r="I109" s="10" t="n">
        <v>2</v>
      </c>
      <c r="J109" s="10" t="n">
        <v>3</v>
      </c>
      <c r="K109" s="10" t="n">
        <v>94</v>
      </c>
      <c r="L109" s="10" t="n">
        <v>100</v>
      </c>
      <c r="M109" s="10" t="n">
        <v>207</v>
      </c>
    </row>
    <row r="110" customFormat="false" ht="15" hidden="false" customHeight="false" outlineLevel="0" collapsed="false">
      <c r="A110" s="10" t="s">
        <v>730</v>
      </c>
      <c r="B110" s="10" t="s">
        <v>395</v>
      </c>
      <c r="C110" s="10" t="s">
        <v>731</v>
      </c>
      <c r="D110" s="10" t="s">
        <v>428</v>
      </c>
      <c r="E110" s="10" t="s">
        <v>345</v>
      </c>
      <c r="F110" s="10" t="n">
        <v>13</v>
      </c>
      <c r="G110" s="10" t="s">
        <v>732</v>
      </c>
      <c r="H110" s="10" t="n">
        <v>4</v>
      </c>
      <c r="I110" s="10" t="n">
        <v>2</v>
      </c>
      <c r="J110" s="10" t="n">
        <v>4</v>
      </c>
      <c r="K110" s="10" t="n">
        <v>95</v>
      </c>
      <c r="L110" s="10" t="n">
        <v>100</v>
      </c>
      <c r="M110" s="10" t="n">
        <v>207</v>
      </c>
    </row>
    <row r="111" customFormat="false" ht="15" hidden="false" customHeight="false" outlineLevel="0" collapsed="false">
      <c r="A111" s="10" t="s">
        <v>733</v>
      </c>
      <c r="B111" s="10" t="s">
        <v>395</v>
      </c>
      <c r="C111" s="10" t="s">
        <v>734</v>
      </c>
      <c r="D111" s="10" t="s">
        <v>428</v>
      </c>
      <c r="E111" s="10" t="s">
        <v>345</v>
      </c>
      <c r="F111" s="10" t="n">
        <v>13</v>
      </c>
      <c r="G111" s="10" t="s">
        <v>735</v>
      </c>
      <c r="H111" s="10" t="n">
        <v>4</v>
      </c>
      <c r="I111" s="10" t="n">
        <v>2</v>
      </c>
      <c r="J111" s="10" t="n">
        <v>3</v>
      </c>
      <c r="K111" s="10" t="n">
        <v>94</v>
      </c>
      <c r="L111" s="10" t="n">
        <v>100</v>
      </c>
      <c r="M111" s="10" t="n">
        <v>184</v>
      </c>
    </row>
    <row r="112" customFormat="false" ht="15" hidden="false" customHeight="false" outlineLevel="0" collapsed="false">
      <c r="A112" s="10" t="s">
        <v>736</v>
      </c>
      <c r="B112" s="10" t="s">
        <v>395</v>
      </c>
      <c r="C112" s="10" t="s">
        <v>737</v>
      </c>
      <c r="D112" s="10" t="s">
        <v>428</v>
      </c>
      <c r="E112" s="10" t="s">
        <v>345</v>
      </c>
      <c r="F112" s="10" t="n">
        <v>13</v>
      </c>
      <c r="G112" s="10" t="s">
        <v>738</v>
      </c>
      <c r="H112" s="10" t="n">
        <v>4</v>
      </c>
      <c r="I112" s="10" t="n">
        <v>2</v>
      </c>
      <c r="J112" s="10" t="n">
        <v>3</v>
      </c>
      <c r="K112" s="10" t="n">
        <v>96</v>
      </c>
      <c r="L112" s="10" t="n">
        <v>100</v>
      </c>
      <c r="M112" s="10" t="n">
        <v>198</v>
      </c>
    </row>
    <row r="113" customFormat="false" ht="15" hidden="false" customHeight="false" outlineLevel="0" collapsed="false">
      <c r="A113" s="10" t="s">
        <v>739</v>
      </c>
      <c r="B113" s="10" t="s">
        <v>395</v>
      </c>
      <c r="C113" s="10" t="s">
        <v>740</v>
      </c>
      <c r="D113" s="10" t="s">
        <v>428</v>
      </c>
      <c r="E113" s="10" t="s">
        <v>345</v>
      </c>
      <c r="F113" s="10" t="n">
        <v>13</v>
      </c>
      <c r="G113" s="10" t="s">
        <v>493</v>
      </c>
      <c r="H113" s="10" t="n">
        <v>4</v>
      </c>
      <c r="I113" s="10" t="n">
        <v>2</v>
      </c>
      <c r="J113" s="10" t="n">
        <v>3</v>
      </c>
      <c r="K113" s="10" t="n">
        <v>95</v>
      </c>
      <c r="L113" s="10" t="n">
        <v>100</v>
      </c>
      <c r="M113" s="10" t="n">
        <v>117</v>
      </c>
    </row>
    <row r="114" customFormat="false" ht="15" hidden="false" customHeight="false" outlineLevel="0" collapsed="false">
      <c r="A114" s="10" t="s">
        <v>741</v>
      </c>
      <c r="B114" s="10" t="s">
        <v>395</v>
      </c>
      <c r="C114" s="10" t="s">
        <v>742</v>
      </c>
      <c r="D114" s="10" t="s">
        <v>428</v>
      </c>
      <c r="E114" s="10" t="s">
        <v>345</v>
      </c>
      <c r="F114" s="10" t="n">
        <v>13</v>
      </c>
      <c r="G114" s="10" t="s">
        <v>743</v>
      </c>
      <c r="H114" s="10" t="n">
        <v>4</v>
      </c>
      <c r="I114" s="10" t="n">
        <v>2</v>
      </c>
      <c r="J114" s="10" t="n">
        <v>3</v>
      </c>
      <c r="K114" s="10" t="n">
        <v>96</v>
      </c>
      <c r="L114" s="10" t="n">
        <v>100</v>
      </c>
      <c r="M114" s="10" t="n">
        <v>128</v>
      </c>
    </row>
    <row r="115" customFormat="false" ht="15" hidden="false" customHeight="false" outlineLevel="0" collapsed="false">
      <c r="A115" s="10" t="s">
        <v>744</v>
      </c>
      <c r="B115" s="10" t="s">
        <v>395</v>
      </c>
      <c r="C115" s="10" t="s">
        <v>745</v>
      </c>
      <c r="D115" s="10" t="s">
        <v>428</v>
      </c>
      <c r="E115" s="10" t="s">
        <v>345</v>
      </c>
      <c r="F115" s="10" t="n">
        <v>12</v>
      </c>
      <c r="G115" s="10" t="s">
        <v>746</v>
      </c>
      <c r="H115" s="10" t="n">
        <v>4</v>
      </c>
      <c r="I115" s="10" t="n">
        <v>2</v>
      </c>
      <c r="J115" s="10" t="n">
        <v>3</v>
      </c>
      <c r="K115" s="10" t="n">
        <v>95</v>
      </c>
      <c r="L115" s="10" t="n">
        <v>100</v>
      </c>
      <c r="M115" s="10" t="n">
        <v>146</v>
      </c>
    </row>
    <row r="116" customFormat="false" ht="15" hidden="false" customHeight="false" outlineLevel="0" collapsed="false">
      <c r="A116" s="10" t="s">
        <v>747</v>
      </c>
      <c r="B116" s="10" t="s">
        <v>395</v>
      </c>
      <c r="C116" s="10" t="s">
        <v>748</v>
      </c>
      <c r="D116" s="10" t="s">
        <v>428</v>
      </c>
      <c r="E116" s="10" t="s">
        <v>345</v>
      </c>
      <c r="F116" s="10" t="n">
        <v>13</v>
      </c>
      <c r="G116" s="10" t="s">
        <v>749</v>
      </c>
      <c r="H116" s="10" t="n">
        <v>4</v>
      </c>
      <c r="I116" s="10" t="n">
        <v>2</v>
      </c>
      <c r="J116" s="10" t="n">
        <v>3</v>
      </c>
      <c r="K116" s="10" t="n">
        <v>94</v>
      </c>
      <c r="L116" s="10" t="n">
        <v>100</v>
      </c>
      <c r="M116" s="10" t="n">
        <v>178</v>
      </c>
    </row>
    <row r="117" customFormat="false" ht="15" hidden="false" customHeight="false" outlineLevel="0" collapsed="false">
      <c r="A117" s="10" t="s">
        <v>750</v>
      </c>
      <c r="B117" s="10" t="s">
        <v>395</v>
      </c>
      <c r="C117" s="10" t="s">
        <v>751</v>
      </c>
      <c r="D117" s="10" t="s">
        <v>433</v>
      </c>
      <c r="E117" s="10" t="s">
        <v>146</v>
      </c>
      <c r="F117" s="10" t="n">
        <v>13</v>
      </c>
      <c r="G117" s="10" t="s">
        <v>752</v>
      </c>
      <c r="H117" s="10" t="n">
        <v>4</v>
      </c>
      <c r="I117" s="10" t="n">
        <v>2</v>
      </c>
      <c r="J117" s="10" t="n">
        <v>9</v>
      </c>
      <c r="K117" s="10" t="n">
        <v>95</v>
      </c>
      <c r="L117" s="10" t="n">
        <v>78</v>
      </c>
      <c r="M117" s="10" t="n">
        <v>194</v>
      </c>
    </row>
    <row r="118" customFormat="false" ht="15" hidden="false" customHeight="false" outlineLevel="0" collapsed="false">
      <c r="A118" s="10" t="s">
        <v>753</v>
      </c>
      <c r="B118" s="10" t="s">
        <v>395</v>
      </c>
      <c r="C118" s="10" t="s">
        <v>754</v>
      </c>
      <c r="D118" s="10" t="s">
        <v>401</v>
      </c>
      <c r="E118" s="10" t="s">
        <v>196</v>
      </c>
      <c r="F118" s="10" t="n">
        <v>10</v>
      </c>
      <c r="G118" s="10" t="s">
        <v>755</v>
      </c>
      <c r="H118" s="10" t="n">
        <v>4</v>
      </c>
      <c r="I118" s="10" t="n">
        <v>0</v>
      </c>
      <c r="J118" s="10" t="n">
        <v>3</v>
      </c>
      <c r="K118" s="10" t="n">
        <v>73</v>
      </c>
      <c r="L118" s="10" t="n">
        <v>67</v>
      </c>
      <c r="M118" s="10" t="n">
        <v>0</v>
      </c>
    </row>
    <row r="119" customFormat="false" ht="15" hidden="false" customHeight="false" outlineLevel="0" collapsed="false">
      <c r="A119" s="10" t="s">
        <v>756</v>
      </c>
      <c r="B119" s="10" t="s">
        <v>395</v>
      </c>
      <c r="C119" s="10" t="s">
        <v>757</v>
      </c>
      <c r="D119" s="10" t="s">
        <v>405</v>
      </c>
      <c r="E119" s="10" t="s">
        <v>226</v>
      </c>
      <c r="F119" s="10" t="n">
        <v>14</v>
      </c>
      <c r="G119" s="10" t="s">
        <v>758</v>
      </c>
      <c r="H119" s="10" t="n">
        <v>4</v>
      </c>
      <c r="I119" s="10" t="n">
        <v>2</v>
      </c>
      <c r="J119" s="10" t="n">
        <v>5</v>
      </c>
      <c r="K119" s="10" t="n">
        <v>96</v>
      </c>
      <c r="L119" s="10" t="n">
        <v>100</v>
      </c>
      <c r="M119" s="10" t="n">
        <v>230</v>
      </c>
    </row>
    <row r="120" customFormat="false" ht="15" hidden="false" customHeight="false" outlineLevel="0" collapsed="false">
      <c r="A120" s="10" t="s">
        <v>759</v>
      </c>
      <c r="B120" s="10" t="s">
        <v>395</v>
      </c>
      <c r="C120" s="10" t="s">
        <v>760</v>
      </c>
      <c r="D120" s="10" t="s">
        <v>450</v>
      </c>
      <c r="E120" s="10"/>
      <c r="F120" s="10" t="n">
        <v>14</v>
      </c>
      <c r="G120" s="10" t="s">
        <v>761</v>
      </c>
      <c r="H120" s="10" t="n">
        <v>4</v>
      </c>
      <c r="I120" s="10" t="n">
        <v>2</v>
      </c>
      <c r="J120" s="10" t="n">
        <v>6</v>
      </c>
      <c r="K120" s="10" t="n">
        <v>98</v>
      </c>
      <c r="L120" s="10" t="n">
        <v>100</v>
      </c>
      <c r="M120" s="10" t="n">
        <v>269</v>
      </c>
    </row>
    <row r="121" customFormat="false" ht="15" hidden="false" customHeight="false" outlineLevel="0" collapsed="false">
      <c r="A121" s="10" t="s">
        <v>762</v>
      </c>
      <c r="B121" s="10" t="s">
        <v>395</v>
      </c>
      <c r="C121" s="10" t="s">
        <v>763</v>
      </c>
      <c r="D121" s="10" t="s">
        <v>499</v>
      </c>
      <c r="E121" s="10" t="s">
        <v>377</v>
      </c>
      <c r="F121" s="10" t="n">
        <v>14</v>
      </c>
      <c r="G121" s="10" t="s">
        <v>764</v>
      </c>
      <c r="H121" s="10" t="n">
        <v>4</v>
      </c>
      <c r="I121" s="10" t="n">
        <v>2</v>
      </c>
      <c r="J121" s="10" t="n">
        <v>10</v>
      </c>
      <c r="K121" s="10" t="n">
        <v>96</v>
      </c>
      <c r="L121" s="10" t="n">
        <v>100</v>
      </c>
      <c r="M121" s="10" t="n">
        <v>196</v>
      </c>
    </row>
    <row r="122" customFormat="false" ht="15" hidden="false" customHeight="false" outlineLevel="0" collapsed="false">
      <c r="A122" s="10" t="s">
        <v>765</v>
      </c>
      <c r="B122" s="10" t="s">
        <v>395</v>
      </c>
      <c r="C122" s="10" t="s">
        <v>766</v>
      </c>
      <c r="D122" s="10" t="s">
        <v>499</v>
      </c>
      <c r="E122" s="10" t="s">
        <v>377</v>
      </c>
      <c r="F122" s="10" t="n">
        <v>13</v>
      </c>
      <c r="G122" s="10" t="s">
        <v>767</v>
      </c>
      <c r="H122" s="10" t="n">
        <v>4</v>
      </c>
      <c r="I122" s="10" t="n">
        <v>2</v>
      </c>
      <c r="J122" s="10" t="n">
        <v>9</v>
      </c>
      <c r="K122" s="10" t="n">
        <v>96</v>
      </c>
      <c r="L122" s="10" t="n">
        <v>100</v>
      </c>
      <c r="M122" s="10" t="n">
        <v>205</v>
      </c>
    </row>
    <row r="123" customFormat="false" ht="15" hidden="false" customHeight="false" outlineLevel="0" collapsed="false">
      <c r="A123" s="10" t="s">
        <v>768</v>
      </c>
      <c r="B123" s="10" t="s">
        <v>395</v>
      </c>
      <c r="C123" s="10" t="s">
        <v>769</v>
      </c>
      <c r="D123" s="10" t="s">
        <v>499</v>
      </c>
      <c r="E123" s="10" t="s">
        <v>377</v>
      </c>
      <c r="F123" s="10" t="n">
        <v>13</v>
      </c>
      <c r="G123" s="10" t="s">
        <v>770</v>
      </c>
      <c r="H123" s="10" t="n">
        <v>4</v>
      </c>
      <c r="I123" s="10" t="n">
        <v>2</v>
      </c>
      <c r="J123" s="10" t="n">
        <v>11</v>
      </c>
      <c r="K123" s="10" t="n">
        <v>95</v>
      </c>
      <c r="L123" s="10" t="n">
        <v>100</v>
      </c>
      <c r="M123" s="10" t="n">
        <v>220</v>
      </c>
    </row>
    <row r="124" customFormat="false" ht="15" hidden="false" customHeight="false" outlineLevel="0" collapsed="false">
      <c r="A124" s="10" t="s">
        <v>771</v>
      </c>
      <c r="B124" s="10" t="s">
        <v>395</v>
      </c>
      <c r="C124" s="10" t="s">
        <v>772</v>
      </c>
      <c r="D124" s="10" t="s">
        <v>499</v>
      </c>
      <c r="E124" s="10" t="s">
        <v>377</v>
      </c>
      <c r="F124" s="10" t="n">
        <v>13</v>
      </c>
      <c r="G124" s="10" t="s">
        <v>773</v>
      </c>
      <c r="H124" s="10" t="n">
        <v>4</v>
      </c>
      <c r="I124" s="10" t="n">
        <v>2</v>
      </c>
      <c r="J124" s="10" t="n">
        <v>9</v>
      </c>
      <c r="K124" s="10" t="n">
        <v>95</v>
      </c>
      <c r="L124" s="10" t="n">
        <v>100</v>
      </c>
      <c r="M124" s="10" t="n">
        <v>133</v>
      </c>
    </row>
    <row r="125" customFormat="false" ht="15" hidden="false" customHeight="false" outlineLevel="0" collapsed="false">
      <c r="A125" s="10" t="s">
        <v>774</v>
      </c>
      <c r="B125" s="10" t="s">
        <v>395</v>
      </c>
      <c r="C125" s="10" t="s">
        <v>775</v>
      </c>
      <c r="D125" s="10" t="s">
        <v>499</v>
      </c>
      <c r="E125" s="10" t="s">
        <v>377</v>
      </c>
      <c r="F125" s="10" t="n">
        <v>14</v>
      </c>
      <c r="G125" s="10" t="s">
        <v>776</v>
      </c>
      <c r="H125" s="10" t="n">
        <v>4</v>
      </c>
      <c r="I125" s="10" t="n">
        <v>2</v>
      </c>
      <c r="J125" s="10" t="n">
        <v>10</v>
      </c>
      <c r="K125" s="10" t="n">
        <v>95</v>
      </c>
      <c r="L125" s="10" t="n">
        <v>100</v>
      </c>
      <c r="M125" s="10" t="n">
        <v>156</v>
      </c>
    </row>
    <row r="126" customFormat="false" ht="15" hidden="false" customHeight="false" outlineLevel="0" collapsed="false">
      <c r="A126" s="10" t="s">
        <v>777</v>
      </c>
      <c r="B126" s="10" t="s">
        <v>395</v>
      </c>
      <c r="C126" s="10" t="s">
        <v>778</v>
      </c>
      <c r="D126" s="10" t="s">
        <v>499</v>
      </c>
      <c r="E126" s="10" t="s">
        <v>377</v>
      </c>
      <c r="F126" s="10" t="n">
        <v>15</v>
      </c>
      <c r="G126" s="10" t="s">
        <v>779</v>
      </c>
      <c r="H126" s="10" t="n">
        <v>4</v>
      </c>
      <c r="I126" s="10" t="n">
        <v>2</v>
      </c>
      <c r="J126" s="10" t="n">
        <v>10</v>
      </c>
      <c r="K126" s="10" t="n">
        <v>94</v>
      </c>
      <c r="L126" s="10" t="n">
        <v>100</v>
      </c>
      <c r="M126" s="10" t="n">
        <v>248</v>
      </c>
    </row>
    <row r="127" customFormat="false" ht="15" hidden="false" customHeight="false" outlineLevel="0" collapsed="false">
      <c r="A127" s="10" t="s">
        <v>780</v>
      </c>
      <c r="B127" s="10" t="s">
        <v>395</v>
      </c>
      <c r="C127" s="10" t="s">
        <v>781</v>
      </c>
      <c r="D127" s="10" t="s">
        <v>499</v>
      </c>
      <c r="E127" s="10" t="s">
        <v>377</v>
      </c>
      <c r="F127" s="10" t="n">
        <v>14</v>
      </c>
      <c r="G127" s="10" t="s">
        <v>782</v>
      </c>
      <c r="H127" s="10" t="n">
        <v>4</v>
      </c>
      <c r="I127" s="10" t="n">
        <v>2</v>
      </c>
      <c r="J127" s="10" t="n">
        <v>8</v>
      </c>
      <c r="K127" s="10" t="n">
        <v>96</v>
      </c>
      <c r="L127" s="10" t="n">
        <v>100</v>
      </c>
      <c r="M127" s="10" t="n">
        <v>202</v>
      </c>
    </row>
    <row r="128" customFormat="false" ht="15" hidden="false" customHeight="false" outlineLevel="0" collapsed="false">
      <c r="A128" s="10" t="s">
        <v>783</v>
      </c>
      <c r="B128" s="10" t="s">
        <v>395</v>
      </c>
      <c r="C128" s="10" t="s">
        <v>784</v>
      </c>
      <c r="D128" s="10" t="s">
        <v>499</v>
      </c>
      <c r="E128" s="10" t="s">
        <v>377</v>
      </c>
      <c r="F128" s="10" t="n">
        <v>14</v>
      </c>
      <c r="G128" s="10" t="s">
        <v>785</v>
      </c>
      <c r="H128" s="10" t="n">
        <v>4</v>
      </c>
      <c r="I128" s="10" t="n">
        <v>2</v>
      </c>
      <c r="J128" s="10" t="n">
        <v>12</v>
      </c>
      <c r="K128" s="10" t="n">
        <v>96</v>
      </c>
      <c r="L128" s="10" t="n">
        <v>100</v>
      </c>
      <c r="M128" s="10" t="n">
        <v>216</v>
      </c>
    </row>
    <row r="129" customFormat="false" ht="15" hidden="false" customHeight="false" outlineLevel="0" collapsed="false">
      <c r="A129" s="10" t="s">
        <v>786</v>
      </c>
      <c r="B129" s="10" t="s">
        <v>395</v>
      </c>
      <c r="C129" s="10" t="s">
        <v>787</v>
      </c>
      <c r="D129" s="10" t="s">
        <v>409</v>
      </c>
      <c r="E129" s="10" t="s">
        <v>129</v>
      </c>
      <c r="F129" s="10" t="n">
        <v>11</v>
      </c>
      <c r="G129" s="10" t="s">
        <v>788</v>
      </c>
      <c r="H129" s="10" t="n">
        <v>4</v>
      </c>
      <c r="I129" s="10" t="n">
        <v>2</v>
      </c>
      <c r="J129" s="10" t="n">
        <v>4</v>
      </c>
      <c r="K129" s="10" t="n">
        <v>98</v>
      </c>
      <c r="L129" s="10" t="n">
        <v>100</v>
      </c>
      <c r="M129" s="10" t="n">
        <v>170</v>
      </c>
    </row>
    <row r="130" customFormat="false" ht="15" hidden="false" customHeight="false" outlineLevel="0" collapsed="false">
      <c r="A130" s="10" t="s">
        <v>789</v>
      </c>
      <c r="B130" s="10" t="s">
        <v>395</v>
      </c>
      <c r="C130" s="10" t="s">
        <v>790</v>
      </c>
      <c r="D130" s="10" t="s">
        <v>465</v>
      </c>
      <c r="E130" s="10" t="s">
        <v>791</v>
      </c>
      <c r="F130" s="10" t="n">
        <v>10</v>
      </c>
      <c r="G130" s="10" t="s">
        <v>792</v>
      </c>
      <c r="H130" s="10" t="n">
        <v>4</v>
      </c>
      <c r="I130" s="10" t="n">
        <v>2</v>
      </c>
      <c r="J130" s="10" t="n">
        <v>4</v>
      </c>
      <c r="K130" s="10" t="n">
        <v>95</v>
      </c>
      <c r="L130" s="10" t="n">
        <v>100</v>
      </c>
      <c r="M130" s="10" t="n">
        <v>118</v>
      </c>
    </row>
    <row r="131" customFormat="false" ht="15" hidden="false" customHeight="false" outlineLevel="0" collapsed="false">
      <c r="A131" s="10" t="s">
        <v>793</v>
      </c>
      <c r="B131" s="10" t="s">
        <v>395</v>
      </c>
      <c r="C131" s="10" t="s">
        <v>794</v>
      </c>
      <c r="D131" s="10" t="s">
        <v>413</v>
      </c>
      <c r="E131" s="10" t="s">
        <v>152</v>
      </c>
      <c r="F131" s="10" t="n">
        <v>12</v>
      </c>
      <c r="G131" s="10" t="s">
        <v>795</v>
      </c>
      <c r="H131" s="10" t="n">
        <v>4</v>
      </c>
      <c r="I131" s="10" t="n">
        <v>2</v>
      </c>
      <c r="J131" s="10" t="n">
        <v>5</v>
      </c>
      <c r="K131" s="10" t="n">
        <v>97</v>
      </c>
      <c r="L131" s="10" t="n">
        <v>100</v>
      </c>
      <c r="M131" s="10" t="n">
        <v>159</v>
      </c>
    </row>
    <row r="132" customFormat="false" ht="15" hidden="false" customHeight="false" outlineLevel="0" collapsed="false">
      <c r="A132" s="10" t="s">
        <v>796</v>
      </c>
      <c r="B132" s="10" t="s">
        <v>395</v>
      </c>
      <c r="C132" s="10" t="s">
        <v>797</v>
      </c>
      <c r="D132" s="10" t="s">
        <v>461</v>
      </c>
      <c r="E132" s="10" t="s">
        <v>516</v>
      </c>
      <c r="F132" s="10" t="n">
        <v>11</v>
      </c>
      <c r="G132" s="10" t="s">
        <v>798</v>
      </c>
      <c r="H132" s="10" t="n">
        <v>4</v>
      </c>
      <c r="I132" s="10" t="n">
        <v>2</v>
      </c>
      <c r="J132" s="10" t="n">
        <v>4</v>
      </c>
      <c r="K132" s="10" t="n">
        <v>97</v>
      </c>
      <c r="L132" s="10" t="n">
        <v>100</v>
      </c>
      <c r="M132" s="10" t="n">
        <v>198</v>
      </c>
    </row>
    <row r="133" customFormat="false" ht="15" hidden="false" customHeight="false" outlineLevel="0" collapsed="false">
      <c r="A133" s="10" t="s">
        <v>799</v>
      </c>
      <c r="B133" s="10" t="s">
        <v>395</v>
      </c>
      <c r="C133" s="10" t="s">
        <v>800</v>
      </c>
      <c r="D133" s="10" t="s">
        <v>450</v>
      </c>
      <c r="E133" s="10" t="s">
        <v>110</v>
      </c>
      <c r="F133" s="10" t="n">
        <v>13</v>
      </c>
      <c r="G133" s="10" t="s">
        <v>801</v>
      </c>
      <c r="H133" s="10" t="n">
        <v>4</v>
      </c>
      <c r="I133" s="10" t="n">
        <v>2</v>
      </c>
      <c r="J133" s="10" t="n">
        <v>4</v>
      </c>
      <c r="K133" s="10" t="n">
        <v>93</v>
      </c>
      <c r="L133" s="10" t="n">
        <v>75</v>
      </c>
      <c r="M133" s="10" t="n">
        <v>126</v>
      </c>
    </row>
    <row r="134" customFormat="false" ht="15" hidden="false" customHeight="false" outlineLevel="0" collapsed="false">
      <c r="A134" s="10" t="s">
        <v>802</v>
      </c>
      <c r="B134" s="10" t="s">
        <v>395</v>
      </c>
      <c r="C134" s="10" t="s">
        <v>803</v>
      </c>
      <c r="D134" s="10" t="s">
        <v>397</v>
      </c>
      <c r="E134" s="10" t="s">
        <v>804</v>
      </c>
      <c r="F134" s="10" t="n">
        <v>12</v>
      </c>
      <c r="G134" s="10" t="s">
        <v>805</v>
      </c>
      <c r="H134" s="10" t="n">
        <v>4</v>
      </c>
      <c r="I134" s="10" t="n">
        <v>2</v>
      </c>
      <c r="J134" s="10" t="n">
        <v>4</v>
      </c>
      <c r="K134" s="10" t="n">
        <v>94</v>
      </c>
      <c r="L134" s="10" t="n">
        <v>75</v>
      </c>
      <c r="M134" s="10" t="n">
        <v>147</v>
      </c>
    </row>
    <row r="135" customFormat="false" ht="15" hidden="false" customHeight="false" outlineLevel="0" collapsed="false">
      <c r="A135" s="10" t="s">
        <v>806</v>
      </c>
      <c r="B135" s="10" t="s">
        <v>395</v>
      </c>
      <c r="C135" s="10" t="s">
        <v>807</v>
      </c>
      <c r="D135" s="10" t="s">
        <v>401</v>
      </c>
      <c r="E135" s="10" t="s">
        <v>161</v>
      </c>
      <c r="F135" s="10" t="n">
        <v>10</v>
      </c>
      <c r="G135" s="10" t="s">
        <v>755</v>
      </c>
      <c r="H135" s="10" t="n">
        <v>5</v>
      </c>
      <c r="I135" s="10" t="n">
        <v>0</v>
      </c>
      <c r="J135" s="10" t="n">
        <v>7</v>
      </c>
      <c r="K135" s="10" t="n">
        <v>81</v>
      </c>
      <c r="L135" s="10" t="n">
        <v>100</v>
      </c>
      <c r="M135" s="10" t="n">
        <v>0</v>
      </c>
    </row>
    <row r="136" customFormat="false" ht="15" hidden="false" customHeight="false" outlineLevel="0" collapsed="false">
      <c r="A136" s="10" t="s">
        <v>808</v>
      </c>
      <c r="B136" s="10" t="s">
        <v>395</v>
      </c>
      <c r="C136" s="10" t="s">
        <v>809</v>
      </c>
      <c r="D136" s="10" t="s">
        <v>683</v>
      </c>
      <c r="E136" s="10" t="s">
        <v>295</v>
      </c>
      <c r="F136" s="10" t="n">
        <v>13</v>
      </c>
      <c r="G136" s="10" t="s">
        <v>810</v>
      </c>
      <c r="H136" s="10" t="n">
        <v>4</v>
      </c>
      <c r="I136" s="10" t="n">
        <v>2</v>
      </c>
      <c r="J136" s="10" t="n">
        <v>6</v>
      </c>
      <c r="K136" s="10" t="n">
        <v>97</v>
      </c>
      <c r="L136" s="10" t="n">
        <v>100</v>
      </c>
      <c r="M136" s="10" t="n">
        <v>176</v>
      </c>
    </row>
    <row r="137" customFormat="false" ht="15" hidden="false" customHeight="false" outlineLevel="0" collapsed="false">
      <c r="A137" s="10" t="s">
        <v>811</v>
      </c>
      <c r="B137" s="10" t="s">
        <v>395</v>
      </c>
      <c r="C137" s="10" t="s">
        <v>812</v>
      </c>
      <c r="D137" s="10" t="s">
        <v>683</v>
      </c>
      <c r="E137" s="10" t="s">
        <v>295</v>
      </c>
      <c r="F137" s="10" t="n">
        <v>13</v>
      </c>
      <c r="G137" s="10" t="s">
        <v>813</v>
      </c>
      <c r="H137" s="10" t="n">
        <v>4</v>
      </c>
      <c r="I137" s="10" t="n">
        <v>2</v>
      </c>
      <c r="J137" s="10" t="n">
        <v>5</v>
      </c>
      <c r="K137" s="10" t="n">
        <v>96</v>
      </c>
      <c r="L137" s="10" t="n">
        <v>100</v>
      </c>
      <c r="M137" s="10" t="n">
        <v>185</v>
      </c>
    </row>
    <row r="138" customFormat="false" ht="15" hidden="false" customHeight="false" outlineLevel="0" collapsed="false">
      <c r="A138" s="10" t="s">
        <v>814</v>
      </c>
      <c r="B138" s="10" t="s">
        <v>395</v>
      </c>
      <c r="C138" s="10" t="s">
        <v>815</v>
      </c>
      <c r="D138" s="10" t="s">
        <v>683</v>
      </c>
      <c r="E138" s="10" t="s">
        <v>295</v>
      </c>
      <c r="F138" s="10" t="n">
        <v>14</v>
      </c>
      <c r="G138" s="10" t="s">
        <v>816</v>
      </c>
      <c r="H138" s="10" t="n">
        <v>4</v>
      </c>
      <c r="I138" s="10" t="n">
        <v>2</v>
      </c>
      <c r="J138" s="10" t="n">
        <v>7</v>
      </c>
      <c r="K138" s="10" t="n">
        <v>95</v>
      </c>
      <c r="L138" s="10" t="n">
        <v>100</v>
      </c>
      <c r="M138" s="10" t="n">
        <v>208</v>
      </c>
    </row>
    <row r="139" customFormat="false" ht="15" hidden="false" customHeight="false" outlineLevel="0" collapsed="false">
      <c r="A139" s="10" t="s">
        <v>817</v>
      </c>
      <c r="B139" s="10" t="s">
        <v>395</v>
      </c>
      <c r="C139" s="10" t="s">
        <v>818</v>
      </c>
      <c r="D139" s="10" t="s">
        <v>683</v>
      </c>
      <c r="E139" s="10" t="s">
        <v>295</v>
      </c>
      <c r="F139" s="10" t="n">
        <v>13</v>
      </c>
      <c r="G139" s="10" t="s">
        <v>819</v>
      </c>
      <c r="H139" s="10" t="n">
        <v>4</v>
      </c>
      <c r="I139" s="10" t="n">
        <v>2</v>
      </c>
      <c r="J139" s="10" t="n">
        <v>5</v>
      </c>
      <c r="K139" s="10" t="n">
        <v>97</v>
      </c>
      <c r="L139" s="10" t="n">
        <v>100</v>
      </c>
      <c r="M139" s="10" t="n">
        <v>185</v>
      </c>
    </row>
    <row r="140" customFormat="false" ht="15" hidden="false" customHeight="false" outlineLevel="0" collapsed="false">
      <c r="A140" s="10" t="s">
        <v>820</v>
      </c>
      <c r="B140" s="10" t="s">
        <v>395</v>
      </c>
      <c r="C140" s="10" t="s">
        <v>821</v>
      </c>
      <c r="D140" s="10" t="s">
        <v>683</v>
      </c>
      <c r="E140" s="10" t="s">
        <v>295</v>
      </c>
      <c r="F140" s="10" t="n">
        <v>13</v>
      </c>
      <c r="G140" s="10" t="s">
        <v>822</v>
      </c>
      <c r="H140" s="10" t="n">
        <v>4</v>
      </c>
      <c r="I140" s="10" t="n">
        <v>2</v>
      </c>
      <c r="J140" s="10" t="n">
        <v>4</v>
      </c>
      <c r="K140" s="10" t="n">
        <v>97</v>
      </c>
      <c r="L140" s="10" t="n">
        <v>100</v>
      </c>
      <c r="M140" s="10" t="n">
        <v>169</v>
      </c>
    </row>
    <row r="141" customFormat="false" ht="15" hidden="false" customHeight="false" outlineLevel="0" collapsed="false">
      <c r="A141" s="10" t="s">
        <v>823</v>
      </c>
      <c r="B141" s="10" t="s">
        <v>395</v>
      </c>
      <c r="C141" s="10" t="s">
        <v>824</v>
      </c>
      <c r="D141" s="10" t="s">
        <v>683</v>
      </c>
      <c r="E141" s="10" t="s">
        <v>295</v>
      </c>
      <c r="F141" s="10" t="n">
        <v>13</v>
      </c>
      <c r="G141" s="10" t="s">
        <v>825</v>
      </c>
      <c r="H141" s="10" t="n">
        <v>4</v>
      </c>
      <c r="I141" s="10" t="n">
        <v>2</v>
      </c>
      <c r="J141" s="10" t="n">
        <v>5</v>
      </c>
      <c r="K141" s="10" t="n">
        <v>96</v>
      </c>
      <c r="L141" s="10" t="n">
        <v>100</v>
      </c>
      <c r="M141" s="10" t="n">
        <v>175</v>
      </c>
    </row>
    <row r="142" customFormat="false" ht="15" hidden="false" customHeight="false" outlineLevel="0" collapsed="false">
      <c r="A142" s="10" t="s">
        <v>826</v>
      </c>
      <c r="B142" s="10" t="s">
        <v>395</v>
      </c>
      <c r="C142" s="10" t="s">
        <v>827</v>
      </c>
      <c r="D142" s="10" t="s">
        <v>683</v>
      </c>
      <c r="E142" s="10" t="s">
        <v>295</v>
      </c>
      <c r="F142" s="10" t="n">
        <v>13</v>
      </c>
      <c r="G142" s="10" t="s">
        <v>825</v>
      </c>
      <c r="H142" s="10" t="n">
        <v>4</v>
      </c>
      <c r="I142" s="10" t="n">
        <v>2</v>
      </c>
      <c r="J142" s="10" t="n">
        <v>5</v>
      </c>
      <c r="K142" s="10" t="n">
        <v>96</v>
      </c>
      <c r="L142" s="10" t="n">
        <v>100</v>
      </c>
      <c r="M142" s="10" t="n">
        <v>172</v>
      </c>
    </row>
    <row r="143" customFormat="false" ht="15" hidden="false" customHeight="false" outlineLevel="0" collapsed="false">
      <c r="A143" s="10" t="s">
        <v>828</v>
      </c>
      <c r="B143" s="10" t="s">
        <v>395</v>
      </c>
      <c r="C143" s="10" t="s">
        <v>829</v>
      </c>
      <c r="D143" s="10" t="s">
        <v>683</v>
      </c>
      <c r="E143" s="10" t="s">
        <v>295</v>
      </c>
      <c r="F143" s="10" t="n">
        <v>15</v>
      </c>
      <c r="G143" s="10" t="s">
        <v>816</v>
      </c>
      <c r="H143" s="10" t="n">
        <v>4</v>
      </c>
      <c r="I143" s="10" t="n">
        <v>2</v>
      </c>
      <c r="J143" s="10" t="n">
        <v>7</v>
      </c>
      <c r="K143" s="10" t="n">
        <v>95</v>
      </c>
      <c r="L143" s="10" t="n">
        <v>100</v>
      </c>
      <c r="M143" s="10" t="n">
        <v>158</v>
      </c>
    </row>
    <row r="144" customFormat="false" ht="15" hidden="false" customHeight="false" outlineLevel="0" collapsed="false">
      <c r="A144" s="10" t="s">
        <v>830</v>
      </c>
      <c r="B144" s="10" t="s">
        <v>395</v>
      </c>
      <c r="C144" s="10" t="s">
        <v>831</v>
      </c>
      <c r="D144" s="10" t="s">
        <v>832</v>
      </c>
      <c r="E144" s="10"/>
      <c r="F144" s="10" t="n">
        <v>13</v>
      </c>
      <c r="G144" s="10" t="s">
        <v>833</v>
      </c>
      <c r="H144" s="10" t="n">
        <v>4</v>
      </c>
      <c r="I144" s="10" t="n">
        <v>2</v>
      </c>
      <c r="J144" s="10" t="n">
        <v>7</v>
      </c>
      <c r="K144" s="10" t="n">
        <v>98</v>
      </c>
      <c r="L144" s="10" t="n">
        <v>100</v>
      </c>
      <c r="M144" s="10" t="n">
        <v>178</v>
      </c>
    </row>
    <row r="145" customFormat="false" ht="15" hidden="false" customHeight="false" outlineLevel="0" collapsed="false">
      <c r="A145" s="10" t="s">
        <v>834</v>
      </c>
      <c r="B145" s="10" t="s">
        <v>395</v>
      </c>
      <c r="C145" s="10" t="s">
        <v>835</v>
      </c>
      <c r="D145" s="10" t="s">
        <v>401</v>
      </c>
      <c r="E145" s="10" t="s">
        <v>161</v>
      </c>
      <c r="F145" s="10" t="n">
        <v>13</v>
      </c>
      <c r="G145" s="10" t="s">
        <v>836</v>
      </c>
      <c r="H145" s="10" t="n">
        <v>4</v>
      </c>
      <c r="I145" s="10" t="n">
        <v>2</v>
      </c>
      <c r="J145" s="10" t="n">
        <v>7</v>
      </c>
      <c r="K145" s="10" t="n">
        <v>97</v>
      </c>
      <c r="L145" s="10" t="n">
        <v>100</v>
      </c>
      <c r="M145" s="10" t="n">
        <v>235</v>
      </c>
    </row>
    <row r="146" customFormat="false" ht="15" hidden="false" customHeight="false" outlineLevel="0" collapsed="false">
      <c r="A146" s="10" t="s">
        <v>837</v>
      </c>
      <c r="B146" s="10" t="s">
        <v>395</v>
      </c>
      <c r="C146" s="10" t="s">
        <v>838</v>
      </c>
      <c r="D146" s="10" t="s">
        <v>401</v>
      </c>
      <c r="E146" s="10" t="s">
        <v>161</v>
      </c>
      <c r="F146" s="10" t="n">
        <v>13</v>
      </c>
      <c r="G146" s="10" t="s">
        <v>839</v>
      </c>
      <c r="H146" s="10" t="n">
        <v>4</v>
      </c>
      <c r="I146" s="10" t="n">
        <v>2</v>
      </c>
      <c r="J146" s="10" t="n">
        <v>6</v>
      </c>
      <c r="K146" s="10" t="n">
        <v>97</v>
      </c>
      <c r="L146" s="10" t="n">
        <v>100</v>
      </c>
      <c r="M146" s="10" t="n">
        <v>278</v>
      </c>
    </row>
    <row r="147" customFormat="false" ht="15" hidden="false" customHeight="false" outlineLevel="0" collapsed="false">
      <c r="A147" s="10" t="s">
        <v>840</v>
      </c>
      <c r="B147" s="10" t="s">
        <v>395</v>
      </c>
      <c r="C147" s="10" t="s">
        <v>841</v>
      </c>
      <c r="D147" s="10" t="s">
        <v>401</v>
      </c>
      <c r="E147" s="10" t="s">
        <v>196</v>
      </c>
      <c r="F147" s="10" t="n">
        <v>12</v>
      </c>
      <c r="G147" s="10" t="s">
        <v>842</v>
      </c>
      <c r="H147" s="10" t="n">
        <v>4</v>
      </c>
      <c r="I147" s="10" t="n">
        <v>2</v>
      </c>
      <c r="J147" s="10" t="n">
        <v>3</v>
      </c>
      <c r="K147" s="10" t="n">
        <v>98</v>
      </c>
      <c r="L147" s="10" t="n">
        <v>100</v>
      </c>
      <c r="M147" s="10" t="n">
        <v>173</v>
      </c>
    </row>
    <row r="148" customFormat="false" ht="15" hidden="false" customHeight="false" outlineLevel="0" collapsed="false">
      <c r="A148" s="10" t="s">
        <v>843</v>
      </c>
      <c r="B148" s="10" t="s">
        <v>395</v>
      </c>
      <c r="C148" s="10" t="s">
        <v>844</v>
      </c>
      <c r="D148" s="10" t="s">
        <v>683</v>
      </c>
      <c r="E148" s="10" t="s">
        <v>220</v>
      </c>
      <c r="F148" s="10" t="n">
        <v>12</v>
      </c>
      <c r="G148" s="10" t="s">
        <v>816</v>
      </c>
      <c r="H148" s="10" t="n">
        <v>4</v>
      </c>
      <c r="I148" s="10" t="n">
        <v>2</v>
      </c>
      <c r="J148" s="10" t="n">
        <v>8</v>
      </c>
      <c r="K148" s="10" t="n">
        <v>97</v>
      </c>
      <c r="L148" s="10" t="n">
        <v>100</v>
      </c>
      <c r="M148" s="10" t="n">
        <v>190</v>
      </c>
    </row>
    <row r="149" customFormat="false" ht="15" hidden="false" customHeight="false" outlineLevel="0" collapsed="false">
      <c r="A149" s="10" t="s">
        <v>845</v>
      </c>
      <c r="B149" s="10" t="s">
        <v>395</v>
      </c>
      <c r="C149" s="10" t="s">
        <v>846</v>
      </c>
      <c r="D149" s="10" t="s">
        <v>405</v>
      </c>
      <c r="E149" s="10" t="s">
        <v>804</v>
      </c>
      <c r="F149" s="10" t="n">
        <v>11</v>
      </c>
      <c r="G149" s="10" t="s">
        <v>847</v>
      </c>
      <c r="H149" s="10" t="n">
        <v>4</v>
      </c>
      <c r="I149" s="10" t="n">
        <v>2</v>
      </c>
      <c r="J149" s="10" t="n">
        <v>6</v>
      </c>
      <c r="K149" s="10" t="n">
        <v>97</v>
      </c>
      <c r="L149" s="10" t="n">
        <v>100</v>
      </c>
      <c r="M149" s="10" t="n">
        <v>157</v>
      </c>
    </row>
    <row r="150" customFormat="false" ht="15" hidden="false" customHeight="false" outlineLevel="0" collapsed="false">
      <c r="A150" s="10" t="s">
        <v>848</v>
      </c>
      <c r="B150" s="10" t="s">
        <v>395</v>
      </c>
      <c r="C150" s="10" t="s">
        <v>849</v>
      </c>
      <c r="D150" s="10" t="s">
        <v>401</v>
      </c>
      <c r="E150" s="10" t="s">
        <v>161</v>
      </c>
      <c r="F150" s="10" t="n">
        <v>13</v>
      </c>
      <c r="G150" s="10" t="s">
        <v>850</v>
      </c>
      <c r="H150" s="10" t="n">
        <v>4</v>
      </c>
      <c r="I150" s="10" t="n">
        <v>2</v>
      </c>
      <c r="J150" s="10" t="n">
        <v>6</v>
      </c>
      <c r="K150" s="10" t="n">
        <v>97</v>
      </c>
      <c r="L150" s="10" t="n">
        <v>100</v>
      </c>
      <c r="M150" s="10" t="n">
        <v>191</v>
      </c>
    </row>
    <row r="151" customFormat="false" ht="15" hidden="false" customHeight="false" outlineLevel="0" collapsed="false">
      <c r="A151" s="10" t="s">
        <v>851</v>
      </c>
      <c r="B151" s="10" t="s">
        <v>395</v>
      </c>
      <c r="C151" s="10" t="s">
        <v>852</v>
      </c>
      <c r="D151" s="10" t="s">
        <v>401</v>
      </c>
      <c r="E151" s="10" t="s">
        <v>161</v>
      </c>
      <c r="F151" s="10" t="n">
        <v>14</v>
      </c>
      <c r="G151" s="10" t="s">
        <v>853</v>
      </c>
      <c r="H151" s="10" t="n">
        <v>4</v>
      </c>
      <c r="I151" s="10" t="n">
        <v>2</v>
      </c>
      <c r="J151" s="10" t="n">
        <v>7</v>
      </c>
      <c r="K151" s="10" t="n">
        <v>98</v>
      </c>
      <c r="L151" s="10" t="n">
        <v>100</v>
      </c>
      <c r="M151" s="10" t="n">
        <v>199</v>
      </c>
    </row>
    <row r="152" customFormat="false" ht="15" hidden="false" customHeight="false" outlineLevel="0" collapsed="false">
      <c r="A152" s="10" t="s">
        <v>854</v>
      </c>
      <c r="B152" s="10" t="s">
        <v>395</v>
      </c>
      <c r="C152" s="10" t="s">
        <v>855</v>
      </c>
      <c r="D152" s="10" t="s">
        <v>499</v>
      </c>
      <c r="E152" s="10" t="s">
        <v>856</v>
      </c>
      <c r="F152" s="10" t="n">
        <v>11</v>
      </c>
      <c r="G152" s="10" t="s">
        <v>857</v>
      </c>
      <c r="H152" s="10" t="n">
        <v>5</v>
      </c>
      <c r="I152" s="10" t="n">
        <v>2</v>
      </c>
      <c r="J152" s="10" t="n">
        <v>5</v>
      </c>
      <c r="K152" s="10" t="n">
        <v>97</v>
      </c>
      <c r="L152" s="10" t="n">
        <v>100</v>
      </c>
      <c r="M152" s="10" t="n">
        <v>242</v>
      </c>
    </row>
    <row r="153" customFormat="false" ht="15" hidden="false" customHeight="false" outlineLevel="0" collapsed="false">
      <c r="A153" s="10" t="s">
        <v>858</v>
      </c>
      <c r="B153" s="10" t="s">
        <v>395</v>
      </c>
      <c r="C153" s="10" t="s">
        <v>859</v>
      </c>
      <c r="D153" s="10" t="s">
        <v>832</v>
      </c>
      <c r="E153" s="10"/>
      <c r="F153" s="10" t="n">
        <v>11</v>
      </c>
      <c r="G153" s="10" t="s">
        <v>860</v>
      </c>
      <c r="H153" s="10" t="n">
        <v>4</v>
      </c>
      <c r="I153" s="10" t="n">
        <v>2</v>
      </c>
      <c r="J153" s="10" t="n">
        <v>5</v>
      </c>
      <c r="K153" s="10" t="n">
        <v>96</v>
      </c>
      <c r="L153" s="10" t="n">
        <v>100</v>
      </c>
      <c r="M153" s="10" t="n">
        <v>155</v>
      </c>
    </row>
    <row r="154" customFormat="false" ht="15" hidden="false" customHeight="false" outlineLevel="0" collapsed="false">
      <c r="A154" s="10" t="s">
        <v>861</v>
      </c>
      <c r="B154" s="10" t="s">
        <v>395</v>
      </c>
      <c r="C154" s="10" t="s">
        <v>862</v>
      </c>
      <c r="D154" s="10" t="s">
        <v>450</v>
      </c>
      <c r="E154" s="10" t="s">
        <v>110</v>
      </c>
      <c r="F154" s="10" t="n">
        <v>11</v>
      </c>
      <c r="G154" s="10" t="s">
        <v>863</v>
      </c>
      <c r="H154" s="10" t="n">
        <v>4</v>
      </c>
      <c r="I154" s="10" t="n">
        <v>2</v>
      </c>
      <c r="J154" s="10" t="n">
        <v>8</v>
      </c>
      <c r="K154" s="10" t="n">
        <v>93</v>
      </c>
      <c r="L154" s="10" t="n">
        <v>56</v>
      </c>
      <c r="M154" s="10" t="n">
        <v>186</v>
      </c>
    </row>
    <row r="155" customFormat="false" ht="15" hidden="false" customHeight="false" outlineLevel="0" collapsed="false">
      <c r="A155" s="10" t="s">
        <v>864</v>
      </c>
      <c r="B155" s="10" t="s">
        <v>395</v>
      </c>
      <c r="C155" s="10" t="s">
        <v>865</v>
      </c>
      <c r="D155" s="10" t="s">
        <v>683</v>
      </c>
      <c r="E155" s="10" t="s">
        <v>866</v>
      </c>
      <c r="F155" s="10" t="n">
        <v>15</v>
      </c>
      <c r="G155" s="10" t="s">
        <v>867</v>
      </c>
      <c r="H155" s="10" t="n">
        <v>4</v>
      </c>
      <c r="I155" s="10" t="n">
        <v>2</v>
      </c>
      <c r="J155" s="10" t="n">
        <v>6</v>
      </c>
      <c r="K155" s="10" t="n">
        <v>91</v>
      </c>
      <c r="L155" s="10" t="n">
        <v>100</v>
      </c>
      <c r="M155" s="10" t="n">
        <v>121</v>
      </c>
    </row>
    <row r="156" customFormat="false" ht="15" hidden="false" customHeight="false" outlineLevel="0" collapsed="false">
      <c r="A156" s="10" t="s">
        <v>868</v>
      </c>
      <c r="B156" s="10" t="s">
        <v>395</v>
      </c>
      <c r="C156" s="10" t="s">
        <v>869</v>
      </c>
      <c r="D156" s="10" t="s">
        <v>401</v>
      </c>
      <c r="E156" s="10" t="s">
        <v>454</v>
      </c>
      <c r="F156" s="10" t="n">
        <v>12</v>
      </c>
      <c r="G156" s="10" t="s">
        <v>870</v>
      </c>
      <c r="H156" s="10" t="n">
        <v>4</v>
      </c>
      <c r="I156" s="10" t="n">
        <v>2</v>
      </c>
      <c r="J156" s="10" t="n">
        <v>5</v>
      </c>
      <c r="K156" s="10" t="n">
        <v>96</v>
      </c>
      <c r="L156" s="10" t="n">
        <v>100</v>
      </c>
      <c r="M156" s="10" t="n">
        <v>189</v>
      </c>
    </row>
    <row r="157" customFormat="false" ht="15" hidden="false" customHeight="false" outlineLevel="0" collapsed="false">
      <c r="A157" s="10" t="s">
        <v>871</v>
      </c>
      <c r="B157" s="10" t="s">
        <v>395</v>
      </c>
      <c r="C157" s="10" t="s">
        <v>872</v>
      </c>
      <c r="D157" s="10" t="s">
        <v>499</v>
      </c>
      <c r="E157" s="10" t="s">
        <v>139</v>
      </c>
      <c r="F157" s="10" t="n">
        <v>13</v>
      </c>
      <c r="G157" s="10" t="s">
        <v>873</v>
      </c>
      <c r="H157" s="10" t="n">
        <v>4</v>
      </c>
      <c r="I157" s="10" t="n">
        <v>2</v>
      </c>
      <c r="J157" s="10" t="n">
        <v>8</v>
      </c>
      <c r="K157" s="10" t="n">
        <v>96</v>
      </c>
      <c r="L157" s="10" t="n">
        <v>100</v>
      </c>
      <c r="M157" s="10" t="n">
        <v>241</v>
      </c>
    </row>
    <row r="158" customFormat="false" ht="15" hidden="false" customHeight="false" outlineLevel="0" collapsed="false">
      <c r="A158" s="10" t="s">
        <v>874</v>
      </c>
      <c r="B158" s="10" t="s">
        <v>395</v>
      </c>
      <c r="C158" s="10" t="s">
        <v>875</v>
      </c>
      <c r="D158" s="10" t="s">
        <v>401</v>
      </c>
      <c r="E158" s="10" t="s">
        <v>161</v>
      </c>
      <c r="F158" s="10" t="n">
        <v>13</v>
      </c>
      <c r="G158" s="10" t="s">
        <v>876</v>
      </c>
      <c r="H158" s="10" t="n">
        <v>4</v>
      </c>
      <c r="I158" s="10" t="n">
        <v>2</v>
      </c>
      <c r="J158" s="10" t="n">
        <v>6</v>
      </c>
      <c r="K158" s="10" t="n">
        <v>98</v>
      </c>
      <c r="L158" s="10" t="n">
        <v>100</v>
      </c>
      <c r="M158" s="10" t="n">
        <v>211</v>
      </c>
    </row>
    <row r="159" customFormat="false" ht="15" hidden="false" customHeight="false" outlineLevel="0" collapsed="false">
      <c r="A159" s="10" t="s">
        <v>877</v>
      </c>
      <c r="B159" s="10" t="s">
        <v>395</v>
      </c>
      <c r="C159" s="10" t="s">
        <v>878</v>
      </c>
      <c r="D159" s="10" t="s">
        <v>405</v>
      </c>
      <c r="E159" s="10" t="s">
        <v>226</v>
      </c>
      <c r="F159" s="10" t="n">
        <v>15</v>
      </c>
      <c r="G159" s="10" t="s">
        <v>879</v>
      </c>
      <c r="H159" s="10" t="n">
        <v>4</v>
      </c>
      <c r="I159" s="10" t="n">
        <v>2</v>
      </c>
      <c r="J159" s="10" t="n">
        <v>8</v>
      </c>
      <c r="K159" s="10" t="n">
        <v>95</v>
      </c>
      <c r="L159" s="10" t="n">
        <v>100</v>
      </c>
      <c r="M159" s="10" t="n">
        <v>263</v>
      </c>
    </row>
    <row r="160" customFormat="false" ht="15" hidden="false" customHeight="false" outlineLevel="0" collapsed="false">
      <c r="A160" s="10" t="s">
        <v>880</v>
      </c>
      <c r="B160" s="10" t="s">
        <v>395</v>
      </c>
      <c r="C160" s="10" t="s">
        <v>881</v>
      </c>
      <c r="D160" s="10" t="s">
        <v>405</v>
      </c>
      <c r="E160" s="10" t="s">
        <v>226</v>
      </c>
      <c r="F160" s="10" t="n">
        <v>14</v>
      </c>
      <c r="G160" s="10" t="s">
        <v>882</v>
      </c>
      <c r="H160" s="10" t="n">
        <v>5</v>
      </c>
      <c r="I160" s="10" t="n">
        <v>2</v>
      </c>
      <c r="J160" s="10" t="n">
        <v>8</v>
      </c>
      <c r="K160" s="10" t="n">
        <v>96</v>
      </c>
      <c r="L160" s="10" t="n">
        <v>100</v>
      </c>
      <c r="M160" s="10" t="n">
        <v>185</v>
      </c>
    </row>
    <row r="161" customFormat="false" ht="15" hidden="false" customHeight="false" outlineLevel="0" collapsed="false">
      <c r="A161" s="10" t="s">
        <v>883</v>
      </c>
      <c r="B161" s="10" t="s">
        <v>395</v>
      </c>
      <c r="C161" s="10" t="s">
        <v>884</v>
      </c>
      <c r="D161" s="10" t="s">
        <v>405</v>
      </c>
      <c r="E161" s="10" t="s">
        <v>226</v>
      </c>
      <c r="F161" s="10" t="n">
        <v>15</v>
      </c>
      <c r="G161" s="10" t="s">
        <v>885</v>
      </c>
      <c r="H161" s="10" t="n">
        <v>4</v>
      </c>
      <c r="I161" s="10" t="n">
        <v>2</v>
      </c>
      <c r="J161" s="10" t="n">
        <v>9</v>
      </c>
      <c r="K161" s="10" t="n">
        <v>94</v>
      </c>
      <c r="L161" s="10" t="n">
        <v>89</v>
      </c>
      <c r="M161" s="10" t="n">
        <v>193</v>
      </c>
    </row>
    <row r="162" customFormat="false" ht="15" hidden="false" customHeight="false" outlineLevel="0" collapsed="false">
      <c r="A162" s="10" t="s">
        <v>886</v>
      </c>
      <c r="B162" s="10" t="s">
        <v>395</v>
      </c>
      <c r="C162" s="10" t="s">
        <v>887</v>
      </c>
      <c r="D162" s="10" t="s">
        <v>397</v>
      </c>
      <c r="E162" s="10" t="s">
        <v>83</v>
      </c>
      <c r="F162" s="10" t="n">
        <v>14</v>
      </c>
      <c r="G162" s="10" t="s">
        <v>888</v>
      </c>
      <c r="H162" s="10" t="n">
        <v>4</v>
      </c>
      <c r="I162" s="10" t="n">
        <v>2</v>
      </c>
      <c r="J162" s="10" t="n">
        <v>9</v>
      </c>
      <c r="K162" s="10" t="n">
        <v>97</v>
      </c>
      <c r="L162" s="10" t="n">
        <v>100</v>
      </c>
      <c r="M162" s="10" t="n">
        <v>200</v>
      </c>
    </row>
    <row r="163" customFormat="false" ht="15" hidden="false" customHeight="false" outlineLevel="0" collapsed="false">
      <c r="A163" s="10" t="s">
        <v>889</v>
      </c>
      <c r="B163" s="10" t="s">
        <v>395</v>
      </c>
      <c r="C163" s="10" t="s">
        <v>890</v>
      </c>
      <c r="D163" s="10" t="s">
        <v>397</v>
      </c>
      <c r="E163" s="10" t="s">
        <v>83</v>
      </c>
      <c r="F163" s="10" t="n">
        <v>13</v>
      </c>
      <c r="G163" s="10" t="s">
        <v>891</v>
      </c>
      <c r="H163" s="10" t="n">
        <v>4</v>
      </c>
      <c r="I163" s="10" t="n">
        <v>2</v>
      </c>
      <c r="J163" s="10" t="n">
        <v>9</v>
      </c>
      <c r="K163" s="10" t="n">
        <v>98</v>
      </c>
      <c r="L163" s="10" t="n">
        <v>100</v>
      </c>
      <c r="M163" s="10" t="n">
        <v>224</v>
      </c>
    </row>
    <row r="164" customFormat="false" ht="15" hidden="false" customHeight="false" outlineLevel="0" collapsed="false">
      <c r="A164" s="10" t="s">
        <v>892</v>
      </c>
      <c r="B164" s="10" t="s">
        <v>395</v>
      </c>
      <c r="C164" s="10" t="s">
        <v>893</v>
      </c>
      <c r="D164" s="10" t="s">
        <v>397</v>
      </c>
      <c r="E164" s="10" t="s">
        <v>83</v>
      </c>
      <c r="F164" s="10" t="n">
        <v>14</v>
      </c>
      <c r="G164" s="10" t="s">
        <v>894</v>
      </c>
      <c r="H164" s="10" t="n">
        <v>4</v>
      </c>
      <c r="I164" s="10" t="n">
        <v>2</v>
      </c>
      <c r="J164" s="10" t="n">
        <v>8</v>
      </c>
      <c r="K164" s="10" t="n">
        <v>97</v>
      </c>
      <c r="L164" s="10" t="n">
        <v>100</v>
      </c>
      <c r="M164" s="10" t="n">
        <v>200</v>
      </c>
    </row>
    <row r="165" customFormat="false" ht="15" hidden="false" customHeight="false" outlineLevel="0" collapsed="false">
      <c r="A165" s="10" t="s">
        <v>895</v>
      </c>
      <c r="B165" s="10" t="s">
        <v>395</v>
      </c>
      <c r="C165" s="10" t="s">
        <v>896</v>
      </c>
      <c r="D165" s="10" t="s">
        <v>433</v>
      </c>
      <c r="E165" s="10" t="s">
        <v>191</v>
      </c>
      <c r="F165" s="10" t="n">
        <v>14</v>
      </c>
      <c r="G165" s="10" t="s">
        <v>897</v>
      </c>
      <c r="H165" s="10" t="n">
        <v>4</v>
      </c>
      <c r="I165" s="10" t="n">
        <v>2</v>
      </c>
      <c r="J165" s="10" t="n">
        <v>6</v>
      </c>
      <c r="K165" s="10" t="n">
        <v>93</v>
      </c>
      <c r="L165" s="10" t="n">
        <v>83</v>
      </c>
      <c r="M165" s="10" t="n">
        <v>179</v>
      </c>
    </row>
    <row r="166" customFormat="false" ht="15" hidden="false" customHeight="false" outlineLevel="0" collapsed="false">
      <c r="A166" s="10" t="s">
        <v>898</v>
      </c>
      <c r="B166" s="10" t="s">
        <v>395</v>
      </c>
      <c r="C166" s="10" t="s">
        <v>899</v>
      </c>
      <c r="D166" s="10" t="s">
        <v>440</v>
      </c>
      <c r="E166" s="10" t="s">
        <v>203</v>
      </c>
      <c r="F166" s="10" t="n">
        <v>13</v>
      </c>
      <c r="G166" s="10" t="s">
        <v>900</v>
      </c>
      <c r="H166" s="10" t="n">
        <v>4</v>
      </c>
      <c r="I166" s="10" t="n">
        <v>2</v>
      </c>
      <c r="J166" s="10" t="n">
        <v>5</v>
      </c>
      <c r="K166" s="10" t="n">
        <v>96</v>
      </c>
      <c r="L166" s="10" t="n">
        <v>100</v>
      </c>
      <c r="M166" s="10" t="n">
        <v>135</v>
      </c>
    </row>
    <row r="167" customFormat="false" ht="15" hidden="false" customHeight="false" outlineLevel="0" collapsed="false">
      <c r="A167" s="10" t="s">
        <v>901</v>
      </c>
      <c r="B167" s="10" t="s">
        <v>395</v>
      </c>
      <c r="C167" s="10" t="s">
        <v>902</v>
      </c>
      <c r="D167" s="10" t="s">
        <v>401</v>
      </c>
      <c r="E167" s="10" t="s">
        <v>161</v>
      </c>
      <c r="F167" s="10" t="n">
        <v>14</v>
      </c>
      <c r="G167" s="10" t="s">
        <v>903</v>
      </c>
      <c r="H167" s="10" t="n">
        <v>4</v>
      </c>
      <c r="I167" s="10" t="n">
        <v>2</v>
      </c>
      <c r="J167" s="10" t="n">
        <v>7</v>
      </c>
      <c r="K167" s="10" t="n">
        <v>97</v>
      </c>
      <c r="L167" s="10" t="n">
        <v>100</v>
      </c>
      <c r="M167" s="10" t="n">
        <v>207</v>
      </c>
    </row>
    <row r="168" customFormat="false" ht="15" hidden="false" customHeight="false" outlineLevel="0" collapsed="false">
      <c r="A168" s="10" t="s">
        <v>904</v>
      </c>
      <c r="B168" s="10" t="s">
        <v>395</v>
      </c>
      <c r="C168" s="10" t="s">
        <v>905</v>
      </c>
      <c r="D168" s="10" t="s">
        <v>401</v>
      </c>
      <c r="E168" s="10" t="s">
        <v>161</v>
      </c>
      <c r="F168" s="10" t="n">
        <v>14</v>
      </c>
      <c r="G168" s="10" t="s">
        <v>906</v>
      </c>
      <c r="H168" s="10" t="n">
        <v>4</v>
      </c>
      <c r="I168" s="10" t="n">
        <v>2</v>
      </c>
      <c r="J168" s="10" t="n">
        <v>8</v>
      </c>
      <c r="K168" s="10" t="n">
        <v>98</v>
      </c>
      <c r="L168" s="10" t="n">
        <v>100</v>
      </c>
      <c r="M168" s="10" t="n">
        <v>187</v>
      </c>
    </row>
    <row r="169" customFormat="false" ht="15" hidden="false" customHeight="false" outlineLevel="0" collapsed="false">
      <c r="A169" s="10" t="s">
        <v>907</v>
      </c>
      <c r="B169" s="10" t="s">
        <v>395</v>
      </c>
      <c r="C169" s="10" t="s">
        <v>908</v>
      </c>
      <c r="D169" s="10" t="s">
        <v>401</v>
      </c>
      <c r="E169" s="10" t="s">
        <v>161</v>
      </c>
      <c r="F169" s="10" t="n">
        <v>14</v>
      </c>
      <c r="G169" s="10" t="s">
        <v>909</v>
      </c>
      <c r="H169" s="10" t="n">
        <v>4</v>
      </c>
      <c r="I169" s="10" t="n">
        <v>2</v>
      </c>
      <c r="J169" s="10" t="n">
        <v>6</v>
      </c>
      <c r="K169" s="10" t="n">
        <v>99</v>
      </c>
      <c r="L169" s="10" t="n">
        <v>100</v>
      </c>
      <c r="M169" s="10" t="n">
        <v>238</v>
      </c>
    </row>
    <row r="170" customFormat="false" ht="15" hidden="false" customHeight="false" outlineLevel="0" collapsed="false">
      <c r="A170" s="10" t="s">
        <v>910</v>
      </c>
      <c r="B170" s="10" t="s">
        <v>395</v>
      </c>
      <c r="C170" s="10" t="s">
        <v>911</v>
      </c>
      <c r="D170" s="10" t="s">
        <v>401</v>
      </c>
      <c r="E170" s="10" t="s">
        <v>161</v>
      </c>
      <c r="F170" s="10" t="n">
        <v>14</v>
      </c>
      <c r="G170" s="10" t="s">
        <v>912</v>
      </c>
      <c r="H170" s="10" t="n">
        <v>4</v>
      </c>
      <c r="I170" s="10" t="n">
        <v>2</v>
      </c>
      <c r="J170" s="10" t="n">
        <v>8</v>
      </c>
      <c r="K170" s="10" t="n">
        <v>97</v>
      </c>
      <c r="L170" s="10" t="n">
        <v>100</v>
      </c>
      <c r="M170" s="10" t="n">
        <v>276</v>
      </c>
    </row>
    <row r="171" customFormat="false" ht="15" hidden="false" customHeight="false" outlineLevel="0" collapsed="false">
      <c r="A171" s="10" t="s">
        <v>913</v>
      </c>
      <c r="B171" s="10" t="s">
        <v>395</v>
      </c>
      <c r="C171" s="10" t="s">
        <v>914</v>
      </c>
      <c r="D171" s="10" t="s">
        <v>401</v>
      </c>
      <c r="E171" s="10" t="s">
        <v>161</v>
      </c>
      <c r="F171" s="10" t="n">
        <v>14</v>
      </c>
      <c r="G171" s="10" t="s">
        <v>915</v>
      </c>
      <c r="H171" s="10" t="n">
        <v>4</v>
      </c>
      <c r="I171" s="10" t="n">
        <v>2</v>
      </c>
      <c r="J171" s="10" t="n">
        <v>7</v>
      </c>
      <c r="K171" s="10" t="n">
        <v>97</v>
      </c>
      <c r="L171" s="10" t="n">
        <v>100</v>
      </c>
      <c r="M171" s="10" t="n">
        <v>238</v>
      </c>
    </row>
    <row r="172" customFormat="false" ht="15" hidden="false" customHeight="false" outlineLevel="0" collapsed="false">
      <c r="A172" s="10" t="s">
        <v>916</v>
      </c>
      <c r="B172" s="10" t="s">
        <v>395</v>
      </c>
      <c r="C172" s="10" t="s">
        <v>917</v>
      </c>
      <c r="D172" s="10" t="s">
        <v>401</v>
      </c>
      <c r="E172" s="10" t="s">
        <v>161</v>
      </c>
      <c r="F172" s="10" t="n">
        <v>14</v>
      </c>
      <c r="G172" s="10" t="s">
        <v>918</v>
      </c>
      <c r="H172" s="10" t="n">
        <v>4</v>
      </c>
      <c r="I172" s="10" t="n">
        <v>2</v>
      </c>
      <c r="J172" s="10" t="n">
        <v>7</v>
      </c>
      <c r="K172" s="10" t="n">
        <v>98</v>
      </c>
      <c r="L172" s="10" t="n">
        <v>100</v>
      </c>
      <c r="M172" s="10" t="n">
        <v>198</v>
      </c>
    </row>
    <row r="173" customFormat="false" ht="15" hidden="false" customHeight="false" outlineLevel="0" collapsed="false">
      <c r="A173" s="10" t="s">
        <v>919</v>
      </c>
      <c r="B173" s="10" t="s">
        <v>395</v>
      </c>
      <c r="C173" s="10" t="s">
        <v>920</v>
      </c>
      <c r="D173" s="10" t="s">
        <v>405</v>
      </c>
      <c r="E173" s="10" t="s">
        <v>226</v>
      </c>
      <c r="F173" s="10" t="n">
        <v>14</v>
      </c>
      <c r="G173" s="10" t="s">
        <v>422</v>
      </c>
      <c r="H173" s="10" t="n">
        <v>4</v>
      </c>
      <c r="I173" s="10" t="n">
        <v>2</v>
      </c>
      <c r="J173" s="10" t="n">
        <v>7</v>
      </c>
      <c r="K173" s="10" t="n">
        <v>97</v>
      </c>
      <c r="L173" s="10" t="n">
        <v>100</v>
      </c>
      <c r="M173" s="10" t="n">
        <v>178</v>
      </c>
    </row>
    <row r="174" customFormat="false" ht="15" hidden="false" customHeight="false" outlineLevel="0" collapsed="false">
      <c r="A174" s="10" t="s">
        <v>921</v>
      </c>
      <c r="B174" s="10" t="s">
        <v>395</v>
      </c>
      <c r="C174" s="10" t="s">
        <v>922</v>
      </c>
      <c r="D174" s="10" t="s">
        <v>409</v>
      </c>
      <c r="E174" s="10" t="s">
        <v>233</v>
      </c>
      <c r="F174" s="10" t="n">
        <v>12</v>
      </c>
      <c r="G174" s="10" t="s">
        <v>923</v>
      </c>
      <c r="H174" s="10" t="n">
        <v>4</v>
      </c>
      <c r="I174" s="10" t="n">
        <v>2</v>
      </c>
      <c r="J174" s="10" t="n">
        <v>3</v>
      </c>
      <c r="K174" s="10" t="n">
        <v>95</v>
      </c>
      <c r="L174" s="10" t="n">
        <v>100</v>
      </c>
      <c r="M174" s="10" t="n">
        <v>278</v>
      </c>
    </row>
    <row r="175" customFormat="false" ht="15" hidden="false" customHeight="false" outlineLevel="0" collapsed="false">
      <c r="A175" s="10" t="s">
        <v>924</v>
      </c>
      <c r="B175" s="10" t="s">
        <v>395</v>
      </c>
      <c r="C175" s="10" t="s">
        <v>925</v>
      </c>
      <c r="D175" s="10" t="s">
        <v>401</v>
      </c>
      <c r="E175" s="10" t="s">
        <v>454</v>
      </c>
      <c r="F175" s="10" t="n">
        <v>12</v>
      </c>
      <c r="G175" s="10" t="s">
        <v>926</v>
      </c>
      <c r="H175" s="10" t="n">
        <v>4</v>
      </c>
      <c r="I175" s="10" t="n">
        <v>2</v>
      </c>
      <c r="J175" s="10" t="n">
        <v>5</v>
      </c>
      <c r="K175" s="10" t="n">
        <v>96</v>
      </c>
      <c r="L175" s="10" t="n">
        <v>100</v>
      </c>
      <c r="M175" s="10" t="n">
        <v>189</v>
      </c>
    </row>
    <row r="176" customFormat="false" ht="15" hidden="false" customHeight="false" outlineLevel="0" collapsed="false">
      <c r="A176" s="10" t="s">
        <v>927</v>
      </c>
      <c r="B176" s="10" t="s">
        <v>395</v>
      </c>
      <c r="C176" s="10" t="s">
        <v>928</v>
      </c>
      <c r="D176" s="10" t="s">
        <v>683</v>
      </c>
      <c r="E176" s="10" t="s">
        <v>209</v>
      </c>
      <c r="F176" s="10" t="n">
        <v>13</v>
      </c>
      <c r="G176" s="10" t="s">
        <v>929</v>
      </c>
      <c r="H176" s="10" t="n">
        <v>4</v>
      </c>
      <c r="I176" s="10" t="n">
        <v>2</v>
      </c>
      <c r="J176" s="10" t="n">
        <v>5</v>
      </c>
      <c r="K176" s="10" t="n">
        <v>98</v>
      </c>
      <c r="L176" s="10" t="n">
        <v>100</v>
      </c>
      <c r="M176" s="10" t="n">
        <v>176</v>
      </c>
    </row>
    <row r="177" customFormat="false" ht="15" hidden="false" customHeight="false" outlineLevel="0" collapsed="false">
      <c r="A177" s="10" t="s">
        <v>930</v>
      </c>
      <c r="B177" s="10" t="s">
        <v>395</v>
      </c>
      <c r="C177" s="10" t="s">
        <v>931</v>
      </c>
      <c r="D177" s="10" t="s">
        <v>405</v>
      </c>
      <c r="E177" s="10" t="s">
        <v>932</v>
      </c>
      <c r="F177" s="10" t="n">
        <v>11</v>
      </c>
      <c r="G177" s="10" t="s">
        <v>933</v>
      </c>
      <c r="H177" s="10" t="n">
        <v>4</v>
      </c>
      <c r="I177" s="10" t="n">
        <v>2</v>
      </c>
      <c r="J177" s="10" t="n">
        <v>3</v>
      </c>
      <c r="K177" s="10" t="n">
        <v>96</v>
      </c>
      <c r="L177" s="10" t="n">
        <v>100</v>
      </c>
      <c r="M177" s="10" t="n">
        <v>142</v>
      </c>
    </row>
    <row r="178" customFormat="false" ht="15" hidden="false" customHeight="false" outlineLevel="0" collapsed="false">
      <c r="A178" s="10" t="s">
        <v>934</v>
      </c>
      <c r="B178" s="10" t="s">
        <v>395</v>
      </c>
      <c r="C178" s="10" t="s">
        <v>935</v>
      </c>
      <c r="D178" s="10" t="s">
        <v>401</v>
      </c>
      <c r="E178" s="10" t="s">
        <v>196</v>
      </c>
      <c r="F178" s="10" t="n">
        <v>12</v>
      </c>
      <c r="G178" s="10" t="s">
        <v>936</v>
      </c>
      <c r="H178" s="10" t="n">
        <v>4</v>
      </c>
      <c r="I178" s="10" t="n">
        <v>2</v>
      </c>
      <c r="J178" s="10" t="n">
        <v>5</v>
      </c>
      <c r="K178" s="10" t="n">
        <v>95</v>
      </c>
      <c r="L178" s="10" t="n">
        <v>80</v>
      </c>
      <c r="M178" s="10" t="n">
        <v>166</v>
      </c>
    </row>
    <row r="179" customFormat="false" ht="15" hidden="false" customHeight="false" outlineLevel="0" collapsed="false">
      <c r="A179" s="10" t="s">
        <v>937</v>
      </c>
      <c r="B179" s="10" t="s">
        <v>395</v>
      </c>
      <c r="C179" s="10" t="s">
        <v>938</v>
      </c>
      <c r="D179" s="10" t="s">
        <v>413</v>
      </c>
      <c r="E179" s="10" t="s">
        <v>158</v>
      </c>
      <c r="F179" s="10" t="n">
        <v>15</v>
      </c>
      <c r="G179" s="10" t="s">
        <v>939</v>
      </c>
      <c r="H179" s="10" t="n">
        <v>4</v>
      </c>
      <c r="I179" s="10" t="n">
        <v>2</v>
      </c>
      <c r="J179" s="10" t="n">
        <v>7</v>
      </c>
      <c r="K179" s="10" t="n">
        <v>96</v>
      </c>
      <c r="L179" s="10" t="n">
        <v>86</v>
      </c>
      <c r="M179" s="10" t="n">
        <v>228</v>
      </c>
    </row>
    <row r="180" customFormat="false" ht="15" hidden="false" customHeight="false" outlineLevel="0" collapsed="false">
      <c r="A180" s="10" t="s">
        <v>940</v>
      </c>
      <c r="B180" s="10" t="s">
        <v>395</v>
      </c>
      <c r="C180" s="10" t="s">
        <v>941</v>
      </c>
      <c r="D180" s="10" t="s">
        <v>413</v>
      </c>
      <c r="E180" s="10" t="s">
        <v>158</v>
      </c>
      <c r="F180" s="10" t="n">
        <v>15</v>
      </c>
      <c r="G180" s="10" t="s">
        <v>942</v>
      </c>
      <c r="H180" s="10" t="n">
        <v>4</v>
      </c>
      <c r="I180" s="10" t="n">
        <v>2</v>
      </c>
      <c r="J180" s="10" t="n">
        <v>9</v>
      </c>
      <c r="K180" s="10" t="n">
        <v>93</v>
      </c>
      <c r="L180" s="10" t="n">
        <v>72</v>
      </c>
      <c r="M180" s="10" t="n">
        <v>230</v>
      </c>
    </row>
    <row r="181" customFormat="false" ht="15" hidden="false" customHeight="false" outlineLevel="0" collapsed="false">
      <c r="A181" s="10" t="s">
        <v>943</v>
      </c>
      <c r="B181" s="10" t="s">
        <v>395</v>
      </c>
      <c r="C181" s="10" t="s">
        <v>944</v>
      </c>
      <c r="D181" s="10" t="s">
        <v>413</v>
      </c>
      <c r="E181" s="10" t="s">
        <v>158</v>
      </c>
      <c r="F181" s="10" t="n">
        <v>15</v>
      </c>
      <c r="G181" s="10" t="s">
        <v>945</v>
      </c>
      <c r="H181" s="10" t="n">
        <v>4</v>
      </c>
      <c r="I181" s="10" t="n">
        <v>2</v>
      </c>
      <c r="J181" s="10" t="n">
        <v>6</v>
      </c>
      <c r="K181" s="10" t="n">
        <v>92</v>
      </c>
      <c r="L181" s="10" t="n">
        <v>67</v>
      </c>
      <c r="M181" s="10" t="n">
        <v>223</v>
      </c>
    </row>
    <row r="182" customFormat="false" ht="15" hidden="false" customHeight="false" outlineLevel="0" collapsed="false">
      <c r="A182" s="10" t="s">
        <v>946</v>
      </c>
      <c r="B182" s="10" t="s">
        <v>395</v>
      </c>
      <c r="C182" s="10" t="s">
        <v>947</v>
      </c>
      <c r="D182" s="10" t="s">
        <v>413</v>
      </c>
      <c r="E182" s="10" t="s">
        <v>158</v>
      </c>
      <c r="F182" s="10" t="n">
        <v>15</v>
      </c>
      <c r="G182" s="10" t="s">
        <v>948</v>
      </c>
      <c r="H182" s="10" t="n">
        <v>4</v>
      </c>
      <c r="I182" s="10" t="n">
        <v>2</v>
      </c>
      <c r="J182" s="10" t="n">
        <v>8</v>
      </c>
      <c r="K182" s="10" t="n">
        <v>97</v>
      </c>
      <c r="L182" s="10" t="n">
        <v>100</v>
      </c>
      <c r="M182" s="10" t="n">
        <v>220</v>
      </c>
    </row>
    <row r="183" customFormat="false" ht="15" hidden="false" customHeight="false" outlineLevel="0" collapsed="false">
      <c r="A183" s="10" t="s">
        <v>949</v>
      </c>
      <c r="B183" s="10" t="s">
        <v>395</v>
      </c>
      <c r="C183" s="10" t="s">
        <v>950</v>
      </c>
      <c r="D183" s="10" t="s">
        <v>397</v>
      </c>
      <c r="E183" s="10" t="s">
        <v>233</v>
      </c>
      <c r="F183" s="10" t="n">
        <v>14</v>
      </c>
      <c r="G183" s="10" t="s">
        <v>951</v>
      </c>
      <c r="H183" s="10" t="n">
        <v>4</v>
      </c>
      <c r="I183" s="10" t="n">
        <v>2</v>
      </c>
      <c r="J183" s="10" t="n">
        <v>6</v>
      </c>
      <c r="K183" s="10" t="n">
        <v>92</v>
      </c>
      <c r="L183" s="10" t="n">
        <v>100</v>
      </c>
      <c r="M183" s="10" t="n">
        <v>227</v>
      </c>
    </row>
    <row r="184" customFormat="false" ht="15" hidden="false" customHeight="false" outlineLevel="0" collapsed="false">
      <c r="A184" s="10" t="s">
        <v>952</v>
      </c>
      <c r="B184" s="10" t="s">
        <v>395</v>
      </c>
      <c r="C184" s="10" t="s">
        <v>953</v>
      </c>
      <c r="D184" s="10" t="s">
        <v>401</v>
      </c>
      <c r="E184" s="10" t="s">
        <v>196</v>
      </c>
      <c r="F184" s="10" t="n">
        <v>12</v>
      </c>
      <c r="G184" s="10" t="s">
        <v>954</v>
      </c>
      <c r="H184" s="10" t="n">
        <v>4</v>
      </c>
      <c r="I184" s="10" t="n">
        <v>2</v>
      </c>
      <c r="J184" s="10" t="n">
        <v>4</v>
      </c>
      <c r="K184" s="10" t="n">
        <v>97</v>
      </c>
      <c r="L184" s="10" t="n">
        <v>100</v>
      </c>
      <c r="M184" s="10" t="n">
        <v>177</v>
      </c>
    </row>
    <row r="185" customFormat="false" ht="15" hidden="false" customHeight="false" outlineLevel="0" collapsed="false">
      <c r="A185" s="10" t="s">
        <v>955</v>
      </c>
      <c r="B185" s="10" t="s">
        <v>395</v>
      </c>
      <c r="C185" s="10" t="s">
        <v>956</v>
      </c>
      <c r="D185" s="10" t="s">
        <v>433</v>
      </c>
      <c r="E185" s="10" t="s">
        <v>146</v>
      </c>
      <c r="F185" s="10" t="n">
        <v>13</v>
      </c>
      <c r="G185" s="10" t="s">
        <v>957</v>
      </c>
      <c r="H185" s="10" t="n">
        <v>4</v>
      </c>
      <c r="I185" s="10" t="n">
        <v>2</v>
      </c>
      <c r="J185" s="10" t="n">
        <v>8</v>
      </c>
      <c r="K185" s="10" t="n">
        <v>94</v>
      </c>
      <c r="L185" s="10" t="n">
        <v>88</v>
      </c>
      <c r="M185" s="10" t="n">
        <v>167</v>
      </c>
    </row>
    <row r="186" customFormat="false" ht="15" hidden="false" customHeight="false" outlineLevel="0" collapsed="false">
      <c r="A186" s="10" t="s">
        <v>958</v>
      </c>
      <c r="B186" s="10" t="s">
        <v>395</v>
      </c>
      <c r="C186" s="10" t="s">
        <v>959</v>
      </c>
      <c r="D186" s="10" t="s">
        <v>413</v>
      </c>
      <c r="E186" s="10" t="s">
        <v>158</v>
      </c>
      <c r="F186" s="10" t="n">
        <v>14</v>
      </c>
      <c r="G186" s="10" t="s">
        <v>960</v>
      </c>
      <c r="H186" s="10" t="n">
        <v>4</v>
      </c>
      <c r="I186" s="10" t="n">
        <v>2</v>
      </c>
      <c r="J186" s="10" t="n">
        <v>8</v>
      </c>
      <c r="K186" s="10" t="n">
        <v>98</v>
      </c>
      <c r="L186" s="10" t="n">
        <v>100</v>
      </c>
      <c r="M186" s="10" t="n">
        <v>184</v>
      </c>
    </row>
    <row r="187" customFormat="false" ht="15" hidden="false" customHeight="false" outlineLevel="0" collapsed="false">
      <c r="A187" s="10" t="s">
        <v>961</v>
      </c>
      <c r="B187" s="10" t="s">
        <v>395</v>
      </c>
      <c r="C187" s="10" t="s">
        <v>962</v>
      </c>
      <c r="D187" s="10" t="s">
        <v>413</v>
      </c>
      <c r="E187" s="10" t="s">
        <v>158</v>
      </c>
      <c r="F187" s="10" t="n">
        <v>14</v>
      </c>
      <c r="G187" s="10" t="s">
        <v>963</v>
      </c>
      <c r="H187" s="10" t="n">
        <v>4</v>
      </c>
      <c r="I187" s="10" t="n">
        <v>2</v>
      </c>
      <c r="J187" s="10" t="n">
        <v>10</v>
      </c>
      <c r="K187" s="10" t="n">
        <v>98</v>
      </c>
      <c r="L187" s="10" t="n">
        <v>100</v>
      </c>
      <c r="M187" s="10" t="n">
        <v>184</v>
      </c>
    </row>
    <row r="188" customFormat="false" ht="15" hidden="false" customHeight="false" outlineLevel="0" collapsed="false">
      <c r="A188" s="10" t="s">
        <v>964</v>
      </c>
      <c r="B188" s="10" t="s">
        <v>395</v>
      </c>
      <c r="C188" s="10" t="s">
        <v>965</v>
      </c>
      <c r="D188" s="10" t="s">
        <v>413</v>
      </c>
      <c r="E188" s="10" t="s">
        <v>158</v>
      </c>
      <c r="F188" s="10" t="n">
        <v>14</v>
      </c>
      <c r="G188" s="10" t="s">
        <v>966</v>
      </c>
      <c r="H188" s="10" t="n">
        <v>4</v>
      </c>
      <c r="I188" s="10" t="n">
        <v>2</v>
      </c>
      <c r="J188" s="10" t="n">
        <v>10</v>
      </c>
      <c r="K188" s="10" t="n">
        <v>98</v>
      </c>
      <c r="L188" s="10" t="n">
        <v>100</v>
      </c>
      <c r="M188" s="10" t="n">
        <v>182</v>
      </c>
    </row>
    <row r="189" customFormat="false" ht="15" hidden="false" customHeight="false" outlineLevel="0" collapsed="false">
      <c r="A189" s="10" t="s">
        <v>967</v>
      </c>
      <c r="B189" s="10" t="s">
        <v>395</v>
      </c>
      <c r="C189" s="10" t="s">
        <v>968</v>
      </c>
      <c r="D189" s="10" t="s">
        <v>413</v>
      </c>
      <c r="E189" s="10" t="s">
        <v>152</v>
      </c>
      <c r="F189" s="10" t="n">
        <v>13</v>
      </c>
      <c r="G189" s="10" t="s">
        <v>969</v>
      </c>
      <c r="H189" s="10" t="n">
        <v>4</v>
      </c>
      <c r="I189" s="10" t="n">
        <v>2</v>
      </c>
      <c r="J189" s="10" t="n">
        <v>10</v>
      </c>
      <c r="K189" s="10" t="n">
        <v>98</v>
      </c>
      <c r="L189" s="10" t="n">
        <v>100</v>
      </c>
      <c r="M189" s="10" t="n">
        <v>185</v>
      </c>
    </row>
    <row r="190" customFormat="false" ht="15" hidden="false" customHeight="false" outlineLevel="0" collapsed="false">
      <c r="A190" s="10" t="s">
        <v>970</v>
      </c>
      <c r="B190" s="10" t="s">
        <v>395</v>
      </c>
      <c r="C190" s="10" t="s">
        <v>971</v>
      </c>
      <c r="D190" s="10" t="s">
        <v>413</v>
      </c>
      <c r="E190" s="10" t="s">
        <v>152</v>
      </c>
      <c r="F190" s="10" t="n">
        <v>14</v>
      </c>
      <c r="G190" s="10" t="s">
        <v>972</v>
      </c>
      <c r="H190" s="10" t="n">
        <v>4</v>
      </c>
      <c r="I190" s="10" t="n">
        <v>2</v>
      </c>
      <c r="J190" s="10" t="n">
        <v>11</v>
      </c>
      <c r="K190" s="10" t="n">
        <v>98</v>
      </c>
      <c r="L190" s="10" t="n">
        <v>100</v>
      </c>
      <c r="M190" s="10" t="n">
        <v>184</v>
      </c>
    </row>
    <row r="191" customFormat="false" ht="15" hidden="false" customHeight="false" outlineLevel="0" collapsed="false">
      <c r="A191" s="10" t="s">
        <v>973</v>
      </c>
      <c r="B191" s="10" t="s">
        <v>395</v>
      </c>
      <c r="C191" s="10" t="s">
        <v>974</v>
      </c>
      <c r="D191" s="10" t="s">
        <v>413</v>
      </c>
      <c r="E191" s="10" t="s">
        <v>152</v>
      </c>
      <c r="F191" s="10" t="n">
        <v>14</v>
      </c>
      <c r="G191" s="10" t="s">
        <v>975</v>
      </c>
      <c r="H191" s="10" t="n">
        <v>4</v>
      </c>
      <c r="I191" s="10" t="n">
        <v>2</v>
      </c>
      <c r="J191" s="10" t="n">
        <v>12</v>
      </c>
      <c r="K191" s="10" t="n">
        <v>98</v>
      </c>
      <c r="L191" s="10" t="n">
        <v>100</v>
      </c>
      <c r="M191" s="10" t="n">
        <v>195</v>
      </c>
    </row>
    <row r="192" customFormat="false" ht="15" hidden="false" customHeight="false" outlineLevel="0" collapsed="false">
      <c r="A192" s="10" t="s">
        <v>976</v>
      </c>
      <c r="B192" s="10" t="s">
        <v>395</v>
      </c>
      <c r="C192" s="10" t="s">
        <v>977</v>
      </c>
      <c r="D192" s="10" t="s">
        <v>499</v>
      </c>
      <c r="E192" s="10" t="s">
        <v>978</v>
      </c>
      <c r="F192" s="10" t="n">
        <v>14</v>
      </c>
      <c r="G192" s="10" t="s">
        <v>979</v>
      </c>
      <c r="H192" s="10" t="n">
        <v>4</v>
      </c>
      <c r="I192" s="10" t="n">
        <v>2</v>
      </c>
      <c r="J192" s="10" t="n">
        <v>3</v>
      </c>
      <c r="K192" s="10" t="n">
        <v>95</v>
      </c>
      <c r="L192" s="10" t="n">
        <v>100</v>
      </c>
      <c r="M192" s="10" t="n">
        <v>182</v>
      </c>
    </row>
    <row r="193" customFormat="false" ht="15" hidden="false" customHeight="false" outlineLevel="0" collapsed="false">
      <c r="A193" s="10" t="s">
        <v>980</v>
      </c>
      <c r="B193" s="10" t="s">
        <v>395</v>
      </c>
      <c r="C193" s="10" t="s">
        <v>981</v>
      </c>
      <c r="D193" s="10" t="s">
        <v>433</v>
      </c>
      <c r="E193" s="10" t="s">
        <v>191</v>
      </c>
      <c r="F193" s="10" t="n">
        <v>12</v>
      </c>
      <c r="G193" s="10" t="s">
        <v>982</v>
      </c>
      <c r="H193" s="10" t="n">
        <v>4</v>
      </c>
      <c r="I193" s="10" t="n">
        <v>2</v>
      </c>
      <c r="J193" s="10" t="n">
        <v>4</v>
      </c>
      <c r="K193" s="10" t="n">
        <v>97</v>
      </c>
      <c r="L193" s="10" t="n">
        <v>100</v>
      </c>
      <c r="M193" s="10" t="n">
        <v>202</v>
      </c>
    </row>
    <row r="194" customFormat="false" ht="15" hidden="false" customHeight="false" outlineLevel="0" collapsed="false">
      <c r="A194" s="10" t="s">
        <v>983</v>
      </c>
      <c r="B194" s="10" t="s">
        <v>395</v>
      </c>
      <c r="C194" s="10" t="s">
        <v>984</v>
      </c>
      <c r="D194" s="10" t="s">
        <v>499</v>
      </c>
      <c r="E194" s="10" t="s">
        <v>139</v>
      </c>
      <c r="F194" s="10" t="n">
        <v>13</v>
      </c>
      <c r="G194" s="10" t="s">
        <v>985</v>
      </c>
      <c r="H194" s="10" t="n">
        <v>4</v>
      </c>
      <c r="I194" s="10" t="n">
        <v>2</v>
      </c>
      <c r="J194" s="10" t="n">
        <v>6</v>
      </c>
      <c r="K194" s="10" t="n">
        <v>94</v>
      </c>
      <c r="L194" s="10" t="n">
        <v>83</v>
      </c>
      <c r="M194" s="10" t="n">
        <v>216</v>
      </c>
    </row>
    <row r="195" customFormat="false" ht="15" hidden="false" customHeight="false" outlineLevel="0" collapsed="false">
      <c r="A195" s="10" t="s">
        <v>986</v>
      </c>
      <c r="B195" s="10" t="s">
        <v>395</v>
      </c>
      <c r="C195" s="10" t="s">
        <v>987</v>
      </c>
      <c r="D195" s="10" t="s">
        <v>428</v>
      </c>
      <c r="E195" s="10" t="s">
        <v>454</v>
      </c>
      <c r="F195" s="10" t="n">
        <v>13</v>
      </c>
      <c r="G195" s="10" t="s">
        <v>988</v>
      </c>
      <c r="H195" s="10" t="n">
        <v>4</v>
      </c>
      <c r="I195" s="10" t="n">
        <v>2</v>
      </c>
      <c r="J195" s="10" t="n">
        <v>9</v>
      </c>
      <c r="K195" s="10" t="n">
        <v>96</v>
      </c>
      <c r="L195" s="10" t="n">
        <v>100</v>
      </c>
      <c r="M195" s="10" t="n">
        <v>281</v>
      </c>
    </row>
    <row r="196" customFormat="false" ht="15" hidden="false" customHeight="false" outlineLevel="0" collapsed="false">
      <c r="A196" s="10" t="s">
        <v>989</v>
      </c>
      <c r="B196" s="10" t="s">
        <v>395</v>
      </c>
      <c r="C196" s="10" t="s">
        <v>990</v>
      </c>
      <c r="D196" s="10" t="s">
        <v>428</v>
      </c>
      <c r="E196" s="10" t="s">
        <v>454</v>
      </c>
      <c r="F196" s="10" t="n">
        <v>13</v>
      </c>
      <c r="G196" s="10" t="s">
        <v>991</v>
      </c>
      <c r="H196" s="10" t="n">
        <v>4</v>
      </c>
      <c r="I196" s="10" t="n">
        <v>2</v>
      </c>
      <c r="J196" s="10" t="n">
        <v>8</v>
      </c>
      <c r="K196" s="10" t="n">
        <v>96</v>
      </c>
      <c r="L196" s="10" t="n">
        <v>100</v>
      </c>
      <c r="M196" s="10" t="n">
        <v>273</v>
      </c>
    </row>
    <row r="197" customFormat="false" ht="15" hidden="false" customHeight="false" outlineLevel="0" collapsed="false">
      <c r="A197" s="10" t="s">
        <v>992</v>
      </c>
      <c r="B197" s="10" t="s">
        <v>395</v>
      </c>
      <c r="C197" s="10" t="s">
        <v>993</v>
      </c>
      <c r="D197" s="10" t="s">
        <v>428</v>
      </c>
      <c r="E197" s="10" t="s">
        <v>454</v>
      </c>
      <c r="F197" s="10" t="n">
        <v>13</v>
      </c>
      <c r="G197" s="10" t="s">
        <v>994</v>
      </c>
      <c r="H197" s="10" t="n">
        <v>4</v>
      </c>
      <c r="I197" s="10" t="n">
        <v>2</v>
      </c>
      <c r="J197" s="10" t="n">
        <v>8</v>
      </c>
      <c r="K197" s="10" t="n">
        <v>96</v>
      </c>
      <c r="L197" s="10" t="n">
        <v>100</v>
      </c>
      <c r="M197" s="10" t="n">
        <v>278</v>
      </c>
    </row>
    <row r="198" customFormat="false" ht="15" hidden="false" customHeight="false" outlineLevel="0" collapsed="false">
      <c r="A198" s="10" t="s">
        <v>995</v>
      </c>
      <c r="B198" s="10" t="s">
        <v>395</v>
      </c>
      <c r="C198" s="10" t="s">
        <v>996</v>
      </c>
      <c r="D198" s="10" t="s">
        <v>428</v>
      </c>
      <c r="E198" s="10" t="s">
        <v>454</v>
      </c>
      <c r="F198" s="10" t="n">
        <v>13</v>
      </c>
      <c r="G198" s="10" t="s">
        <v>997</v>
      </c>
      <c r="H198" s="10" t="n">
        <v>4</v>
      </c>
      <c r="I198" s="10" t="n">
        <v>2</v>
      </c>
      <c r="J198" s="10" t="n">
        <v>7</v>
      </c>
      <c r="K198" s="10" t="n">
        <v>97</v>
      </c>
      <c r="L198" s="10" t="n">
        <v>100</v>
      </c>
      <c r="M198" s="10" t="n">
        <v>210</v>
      </c>
    </row>
    <row r="199" customFormat="false" ht="15" hidden="false" customHeight="false" outlineLevel="0" collapsed="false">
      <c r="A199" s="10" t="s">
        <v>998</v>
      </c>
      <c r="B199" s="10" t="s">
        <v>395</v>
      </c>
      <c r="C199" s="10" t="s">
        <v>999</v>
      </c>
      <c r="D199" s="10" t="s">
        <v>428</v>
      </c>
      <c r="E199" s="10" t="s">
        <v>454</v>
      </c>
      <c r="F199" s="10" t="n">
        <v>13</v>
      </c>
      <c r="G199" s="10" t="s">
        <v>1000</v>
      </c>
      <c r="H199" s="10" t="n">
        <v>4</v>
      </c>
      <c r="I199" s="10" t="n">
        <v>2</v>
      </c>
      <c r="J199" s="10" t="n">
        <v>9</v>
      </c>
      <c r="K199" s="10" t="n">
        <v>96</v>
      </c>
      <c r="L199" s="10" t="n">
        <v>100</v>
      </c>
      <c r="M199" s="10" t="n">
        <v>268</v>
      </c>
    </row>
    <row r="200" customFormat="false" ht="15" hidden="false" customHeight="false" outlineLevel="0" collapsed="false">
      <c r="A200" s="10" t="s">
        <v>1001</v>
      </c>
      <c r="B200" s="10" t="s">
        <v>395</v>
      </c>
      <c r="C200" s="10" t="s">
        <v>1002</v>
      </c>
      <c r="D200" s="10" t="s">
        <v>428</v>
      </c>
      <c r="E200" s="10" t="s">
        <v>454</v>
      </c>
      <c r="F200" s="10" t="n">
        <v>13</v>
      </c>
      <c r="G200" s="10" t="s">
        <v>1003</v>
      </c>
      <c r="H200" s="10" t="n">
        <v>4</v>
      </c>
      <c r="I200" s="10" t="n">
        <v>2</v>
      </c>
      <c r="J200" s="10" t="n">
        <v>9</v>
      </c>
      <c r="K200" s="10" t="n">
        <v>96</v>
      </c>
      <c r="L200" s="10" t="n">
        <v>100</v>
      </c>
      <c r="M200" s="10" t="n">
        <v>267</v>
      </c>
    </row>
    <row r="201" customFormat="false" ht="15" hidden="false" customHeight="false" outlineLevel="0" collapsed="false">
      <c r="A201" s="10" t="s">
        <v>1004</v>
      </c>
      <c r="B201" s="10" t="s">
        <v>395</v>
      </c>
      <c r="C201" s="10" t="s">
        <v>1005</v>
      </c>
      <c r="D201" s="10" t="s">
        <v>417</v>
      </c>
      <c r="E201" s="10" t="s">
        <v>96</v>
      </c>
      <c r="F201" s="10" t="n">
        <v>15</v>
      </c>
      <c r="G201" s="10" t="s">
        <v>1006</v>
      </c>
      <c r="H201" s="10" t="n">
        <v>4</v>
      </c>
      <c r="I201" s="10" t="n">
        <v>2</v>
      </c>
      <c r="J201" s="10" t="n">
        <v>8</v>
      </c>
      <c r="K201" s="10" t="n">
        <v>97</v>
      </c>
      <c r="L201" s="10" t="n">
        <v>100</v>
      </c>
      <c r="M201" s="10" t="n">
        <v>249</v>
      </c>
    </row>
    <row r="202" customFormat="false" ht="15" hidden="false" customHeight="false" outlineLevel="0" collapsed="false">
      <c r="A202" s="10" t="s">
        <v>1007</v>
      </c>
      <c r="B202" s="10" t="s">
        <v>395</v>
      </c>
      <c r="C202" s="10" t="s">
        <v>1008</v>
      </c>
      <c r="D202" s="10" t="s">
        <v>401</v>
      </c>
      <c r="E202" s="10" t="s">
        <v>196</v>
      </c>
      <c r="F202" s="10" t="n">
        <v>15</v>
      </c>
      <c r="G202" s="10" t="s">
        <v>1009</v>
      </c>
      <c r="H202" s="10" t="n">
        <v>4</v>
      </c>
      <c r="I202" s="10" t="n">
        <v>2</v>
      </c>
      <c r="J202" s="10" t="n">
        <v>4</v>
      </c>
      <c r="K202" s="10" t="n">
        <v>96</v>
      </c>
      <c r="L202" s="10" t="n">
        <v>100</v>
      </c>
      <c r="M202" s="10" t="n">
        <v>177</v>
      </c>
    </row>
    <row r="203" customFormat="false" ht="15" hidden="false" customHeight="false" outlineLevel="0" collapsed="false">
      <c r="A203" s="10" t="s">
        <v>1010</v>
      </c>
      <c r="B203" s="10" t="s">
        <v>395</v>
      </c>
      <c r="C203" s="10" t="s">
        <v>1011</v>
      </c>
      <c r="D203" s="10" t="s">
        <v>450</v>
      </c>
      <c r="E203" s="10" t="s">
        <v>325</v>
      </c>
      <c r="F203" s="10" t="n">
        <v>13</v>
      </c>
      <c r="G203" s="10" t="s">
        <v>1012</v>
      </c>
      <c r="H203" s="10" t="n">
        <v>4</v>
      </c>
      <c r="I203" s="10" t="n">
        <v>2</v>
      </c>
      <c r="J203" s="10" t="n">
        <v>6</v>
      </c>
      <c r="K203" s="10" t="n">
        <v>96</v>
      </c>
      <c r="L203" s="10" t="n">
        <v>100</v>
      </c>
      <c r="M203" s="10" t="n">
        <v>115</v>
      </c>
    </row>
    <row r="204" customFormat="false" ht="15" hidden="false" customHeight="false" outlineLevel="0" collapsed="false">
      <c r="A204" s="10" t="s">
        <v>1013</v>
      </c>
      <c r="B204" s="10" t="s">
        <v>395</v>
      </c>
      <c r="C204" s="10" t="s">
        <v>1014</v>
      </c>
      <c r="D204" s="10" t="s">
        <v>428</v>
      </c>
      <c r="E204" s="10" t="s">
        <v>325</v>
      </c>
      <c r="F204" s="10" t="n">
        <v>14</v>
      </c>
      <c r="G204" s="10" t="s">
        <v>1015</v>
      </c>
      <c r="H204" s="10" t="n">
        <v>4</v>
      </c>
      <c r="I204" s="10" t="n">
        <v>2</v>
      </c>
      <c r="J204" s="10" t="n">
        <v>6</v>
      </c>
      <c r="K204" s="10" t="n">
        <v>97</v>
      </c>
      <c r="L204" s="10" t="n">
        <v>100</v>
      </c>
      <c r="M204" s="10" t="n">
        <v>171</v>
      </c>
    </row>
    <row r="205" customFormat="false" ht="15" hidden="false" customHeight="false" outlineLevel="0" collapsed="false">
      <c r="A205" s="10" t="s">
        <v>1016</v>
      </c>
      <c r="B205" s="10" t="s">
        <v>395</v>
      </c>
      <c r="C205" s="10" t="s">
        <v>1017</v>
      </c>
      <c r="D205" s="10" t="s">
        <v>428</v>
      </c>
      <c r="E205" s="10" t="s">
        <v>325</v>
      </c>
      <c r="F205" s="10" t="n">
        <v>12</v>
      </c>
      <c r="G205" s="10" t="s">
        <v>1018</v>
      </c>
      <c r="H205" s="10" t="n">
        <v>4</v>
      </c>
      <c r="I205" s="10" t="n">
        <v>2</v>
      </c>
      <c r="J205" s="10" t="n">
        <v>4</v>
      </c>
      <c r="K205" s="10" t="n">
        <v>98</v>
      </c>
      <c r="L205" s="10" t="n">
        <v>100</v>
      </c>
      <c r="M205" s="10" t="n">
        <v>191</v>
      </c>
    </row>
    <row r="206" customFormat="false" ht="15" hidden="false" customHeight="false" outlineLevel="0" collapsed="false">
      <c r="A206" s="10" t="s">
        <v>1019</v>
      </c>
      <c r="B206" s="10" t="s">
        <v>395</v>
      </c>
      <c r="C206" s="10" t="s">
        <v>1020</v>
      </c>
      <c r="D206" s="10" t="s">
        <v>450</v>
      </c>
      <c r="E206" s="10" t="s">
        <v>325</v>
      </c>
      <c r="F206" s="10" t="n">
        <v>14</v>
      </c>
      <c r="G206" s="10" t="s">
        <v>1021</v>
      </c>
      <c r="H206" s="10" t="n">
        <v>4</v>
      </c>
      <c r="I206" s="10" t="n">
        <v>2</v>
      </c>
      <c r="J206" s="10" t="n">
        <v>8</v>
      </c>
      <c r="K206" s="10" t="n">
        <v>96</v>
      </c>
      <c r="L206" s="10" t="n">
        <v>100</v>
      </c>
      <c r="M206" s="10" t="n">
        <v>142</v>
      </c>
    </row>
    <row r="207" customFormat="false" ht="15" hidden="false" customHeight="false" outlineLevel="0" collapsed="false">
      <c r="A207" s="10" t="s">
        <v>1022</v>
      </c>
      <c r="B207" s="10" t="s">
        <v>395</v>
      </c>
      <c r="C207" s="10" t="s">
        <v>1023</v>
      </c>
      <c r="D207" s="10" t="s">
        <v>433</v>
      </c>
      <c r="E207" s="10" t="s">
        <v>325</v>
      </c>
      <c r="F207" s="10" t="n">
        <v>12</v>
      </c>
      <c r="G207" s="10" t="s">
        <v>1024</v>
      </c>
      <c r="H207" s="10" t="n">
        <v>4</v>
      </c>
      <c r="I207" s="10" t="n">
        <v>2</v>
      </c>
      <c r="J207" s="10" t="n">
        <v>7</v>
      </c>
      <c r="K207" s="10" t="n">
        <v>97</v>
      </c>
      <c r="L207" s="10" t="n">
        <v>100</v>
      </c>
      <c r="M207" s="10" t="n">
        <v>119</v>
      </c>
    </row>
    <row r="208" customFormat="false" ht="15" hidden="false" customHeight="false" outlineLevel="0" collapsed="false">
      <c r="A208" s="10" t="s">
        <v>1025</v>
      </c>
      <c r="B208" s="10" t="s">
        <v>395</v>
      </c>
      <c r="C208" s="10" t="s">
        <v>1026</v>
      </c>
      <c r="D208" s="10" t="s">
        <v>450</v>
      </c>
      <c r="E208" s="10" t="s">
        <v>325</v>
      </c>
      <c r="F208" s="10" t="n">
        <v>12</v>
      </c>
      <c r="G208" s="10" t="s">
        <v>1027</v>
      </c>
      <c r="H208" s="10" t="n">
        <v>4</v>
      </c>
      <c r="I208" s="10" t="n">
        <v>2</v>
      </c>
      <c r="J208" s="10" t="n">
        <v>6</v>
      </c>
      <c r="K208" s="10" t="n">
        <v>96</v>
      </c>
      <c r="L208" s="10" t="n">
        <v>100</v>
      </c>
      <c r="M208" s="10" t="n">
        <v>122</v>
      </c>
    </row>
    <row r="209" customFormat="false" ht="15" hidden="false" customHeight="false" outlineLevel="0" collapsed="false">
      <c r="A209" s="10" t="s">
        <v>1028</v>
      </c>
      <c r="B209" s="10" t="s">
        <v>395</v>
      </c>
      <c r="C209" s="10" t="s">
        <v>1029</v>
      </c>
      <c r="D209" s="10" t="s">
        <v>450</v>
      </c>
      <c r="E209" s="10" t="s">
        <v>325</v>
      </c>
      <c r="F209" s="10" t="n">
        <v>13</v>
      </c>
      <c r="G209" s="10" t="s">
        <v>1030</v>
      </c>
      <c r="H209" s="10" t="n">
        <v>4</v>
      </c>
      <c r="I209" s="10" t="n">
        <v>2</v>
      </c>
      <c r="J209" s="10" t="n">
        <v>4</v>
      </c>
      <c r="K209" s="10" t="n">
        <v>98</v>
      </c>
      <c r="L209" s="10" t="n">
        <v>100</v>
      </c>
      <c r="M209" s="10" t="n">
        <v>178</v>
      </c>
    </row>
    <row r="210" customFormat="false" ht="15" hidden="false" customHeight="false" outlineLevel="0" collapsed="false">
      <c r="A210" s="10" t="s">
        <v>1031</v>
      </c>
      <c r="B210" s="10" t="s">
        <v>395</v>
      </c>
      <c r="C210" s="10" t="s">
        <v>1032</v>
      </c>
      <c r="D210" s="10" t="s">
        <v>450</v>
      </c>
      <c r="E210" s="10" t="s">
        <v>325</v>
      </c>
      <c r="F210" s="10" t="n">
        <v>12</v>
      </c>
      <c r="G210" s="10" t="s">
        <v>1033</v>
      </c>
      <c r="H210" s="10" t="n">
        <v>4</v>
      </c>
      <c r="I210" s="10" t="n">
        <v>2</v>
      </c>
      <c r="J210" s="10" t="n">
        <v>6</v>
      </c>
      <c r="K210" s="10" t="n">
        <v>95</v>
      </c>
      <c r="L210" s="10" t="n">
        <v>100</v>
      </c>
      <c r="M210" s="10" t="n">
        <v>123</v>
      </c>
    </row>
    <row r="211" customFormat="false" ht="15" hidden="false" customHeight="false" outlineLevel="0" collapsed="false">
      <c r="A211" s="10" t="s">
        <v>1034</v>
      </c>
      <c r="B211" s="10" t="s">
        <v>395</v>
      </c>
      <c r="C211" s="10" t="s">
        <v>1035</v>
      </c>
      <c r="D211" s="10" t="s">
        <v>397</v>
      </c>
      <c r="E211" s="10" t="s">
        <v>139</v>
      </c>
      <c r="F211" s="10" t="n">
        <v>11</v>
      </c>
      <c r="G211" s="10" t="s">
        <v>1036</v>
      </c>
      <c r="H211" s="10" t="n">
        <v>4</v>
      </c>
      <c r="I211" s="10" t="n">
        <v>2</v>
      </c>
      <c r="J211" s="10" t="n">
        <v>10</v>
      </c>
      <c r="K211" s="10" t="n">
        <v>96</v>
      </c>
      <c r="L211" s="10" t="n">
        <v>90</v>
      </c>
      <c r="M211" s="10" t="n">
        <v>274</v>
      </c>
    </row>
    <row r="212" customFormat="false" ht="15" hidden="false" customHeight="false" outlineLevel="0" collapsed="false">
      <c r="A212" s="10" t="s">
        <v>1037</v>
      </c>
      <c r="B212" s="10" t="s">
        <v>395</v>
      </c>
      <c r="C212" s="10" t="s">
        <v>1038</v>
      </c>
      <c r="D212" s="10" t="s">
        <v>450</v>
      </c>
      <c r="E212" s="10" t="s">
        <v>1039</v>
      </c>
      <c r="F212" s="10" t="n">
        <v>13</v>
      </c>
      <c r="G212" s="10" t="s">
        <v>1040</v>
      </c>
      <c r="H212" s="10" t="n">
        <v>4</v>
      </c>
      <c r="I212" s="10" t="n">
        <v>2</v>
      </c>
      <c r="J212" s="10" t="n">
        <v>4</v>
      </c>
      <c r="K212" s="10" t="n">
        <v>94</v>
      </c>
      <c r="L212" s="10" t="n">
        <v>100</v>
      </c>
      <c r="M212" s="10" t="n">
        <v>127</v>
      </c>
    </row>
    <row r="213" customFormat="false" ht="15" hidden="false" customHeight="false" outlineLevel="0" collapsed="false">
      <c r="A213" s="10" t="s">
        <v>1041</v>
      </c>
      <c r="B213" s="10" t="s">
        <v>395</v>
      </c>
      <c r="C213" s="10" t="s">
        <v>1042</v>
      </c>
      <c r="D213" s="10" t="s">
        <v>401</v>
      </c>
      <c r="E213" s="10" t="s">
        <v>454</v>
      </c>
      <c r="F213" s="10" t="n">
        <v>12</v>
      </c>
      <c r="G213" s="10" t="s">
        <v>1043</v>
      </c>
      <c r="H213" s="10" t="n">
        <v>4</v>
      </c>
      <c r="I213" s="10" t="n">
        <v>2</v>
      </c>
      <c r="J213" s="10" t="n">
        <v>5</v>
      </c>
      <c r="K213" s="10" t="n">
        <v>96</v>
      </c>
      <c r="L213" s="10" t="n">
        <v>100</v>
      </c>
      <c r="M213" s="10" t="n">
        <v>191</v>
      </c>
    </row>
    <row r="214" customFormat="false" ht="15" hidden="false" customHeight="false" outlineLevel="0" collapsed="false">
      <c r="A214" s="10" t="s">
        <v>1044</v>
      </c>
      <c r="B214" s="10" t="s">
        <v>395</v>
      </c>
      <c r="C214" s="10" t="s">
        <v>1045</v>
      </c>
      <c r="D214" s="10" t="s">
        <v>413</v>
      </c>
      <c r="E214" s="10" t="s">
        <v>158</v>
      </c>
      <c r="F214" s="10" t="n">
        <v>14</v>
      </c>
      <c r="G214" s="10" t="s">
        <v>1046</v>
      </c>
      <c r="H214" s="10" t="n">
        <v>4</v>
      </c>
      <c r="I214" s="10" t="n">
        <v>2</v>
      </c>
      <c r="J214" s="10" t="n">
        <v>11</v>
      </c>
      <c r="K214" s="10" t="n">
        <v>98</v>
      </c>
      <c r="L214" s="10" t="n">
        <v>100</v>
      </c>
      <c r="M214" s="10" t="n">
        <v>206</v>
      </c>
    </row>
    <row r="215" customFormat="false" ht="15" hidden="false" customHeight="false" outlineLevel="0" collapsed="false">
      <c r="A215" s="10" t="s">
        <v>1047</v>
      </c>
      <c r="B215" s="10" t="s">
        <v>395</v>
      </c>
      <c r="C215" s="10" t="s">
        <v>1048</v>
      </c>
      <c r="D215" s="10" t="s">
        <v>461</v>
      </c>
      <c r="E215" s="10" t="s">
        <v>129</v>
      </c>
      <c r="F215" s="10" t="n">
        <v>14</v>
      </c>
      <c r="G215" s="10" t="s">
        <v>623</v>
      </c>
      <c r="H215" s="10" t="n">
        <v>4</v>
      </c>
      <c r="I215" s="10" t="n">
        <v>2</v>
      </c>
      <c r="J215" s="10" t="n">
        <v>5</v>
      </c>
      <c r="K215" s="10" t="n">
        <v>95</v>
      </c>
      <c r="L215" s="10" t="n">
        <v>100</v>
      </c>
      <c r="M215" s="10" t="n">
        <v>147</v>
      </c>
    </row>
    <row r="216" customFormat="false" ht="15" hidden="false" customHeight="false" outlineLevel="0" collapsed="false">
      <c r="A216" s="10" t="s">
        <v>1049</v>
      </c>
      <c r="B216" s="10" t="s">
        <v>395</v>
      </c>
      <c r="C216" s="10" t="s">
        <v>1050</v>
      </c>
      <c r="D216" s="10" t="s">
        <v>401</v>
      </c>
      <c r="E216" s="10" t="s">
        <v>161</v>
      </c>
      <c r="F216" s="10" t="n">
        <v>13</v>
      </c>
      <c r="G216" s="10" t="s">
        <v>1051</v>
      </c>
      <c r="H216" s="10" t="n">
        <v>4</v>
      </c>
      <c r="I216" s="10" t="n">
        <v>2</v>
      </c>
      <c r="J216" s="10" t="n">
        <v>7</v>
      </c>
      <c r="K216" s="10" t="n">
        <v>97</v>
      </c>
      <c r="L216" s="10" t="n">
        <v>100</v>
      </c>
      <c r="M216" s="10" t="n">
        <v>188</v>
      </c>
    </row>
    <row r="217" customFormat="false" ht="15" hidden="false" customHeight="false" outlineLevel="0" collapsed="false">
      <c r="A217" s="10" t="s">
        <v>1052</v>
      </c>
      <c r="B217" s="10" t="s">
        <v>395</v>
      </c>
      <c r="C217" s="10" t="s">
        <v>1053</v>
      </c>
      <c r="D217" s="10" t="s">
        <v>405</v>
      </c>
      <c r="E217" s="10"/>
      <c r="F217" s="10" t="n">
        <v>15</v>
      </c>
      <c r="G217" s="10" t="s">
        <v>1054</v>
      </c>
      <c r="H217" s="10" t="n">
        <v>4</v>
      </c>
      <c r="I217" s="10" t="n">
        <v>2</v>
      </c>
      <c r="J217" s="10" t="n">
        <v>3</v>
      </c>
      <c r="K217" s="10" t="n">
        <v>92</v>
      </c>
      <c r="L217" s="10" t="n">
        <v>100</v>
      </c>
      <c r="M217" s="10" t="n">
        <v>244</v>
      </c>
    </row>
    <row r="218" customFormat="false" ht="15" hidden="false" customHeight="false" outlineLevel="0" collapsed="false">
      <c r="A218" s="10" t="s">
        <v>1055</v>
      </c>
      <c r="B218" s="10" t="s">
        <v>395</v>
      </c>
      <c r="C218" s="10" t="s">
        <v>1056</v>
      </c>
      <c r="D218" s="10" t="s">
        <v>450</v>
      </c>
      <c r="E218" s="10" t="s">
        <v>286</v>
      </c>
      <c r="F218" s="10" t="n">
        <v>14</v>
      </c>
      <c r="G218" s="10" t="s">
        <v>1057</v>
      </c>
      <c r="H218" s="10" t="n">
        <v>4</v>
      </c>
      <c r="I218" s="10" t="n">
        <v>2</v>
      </c>
      <c r="J218" s="10" t="n">
        <v>3</v>
      </c>
      <c r="K218" s="10" t="n">
        <v>95</v>
      </c>
      <c r="L218" s="10" t="n">
        <v>100</v>
      </c>
      <c r="M218" s="10" t="n">
        <v>152</v>
      </c>
    </row>
    <row r="219" customFormat="false" ht="15" hidden="false" customHeight="false" outlineLevel="0" collapsed="false">
      <c r="A219" s="10" t="s">
        <v>1058</v>
      </c>
      <c r="B219" s="10" t="s">
        <v>395</v>
      </c>
      <c r="C219" s="10" t="s">
        <v>1059</v>
      </c>
      <c r="D219" s="10" t="s">
        <v>450</v>
      </c>
      <c r="E219" s="10" t="s">
        <v>286</v>
      </c>
      <c r="F219" s="10" t="n">
        <v>13</v>
      </c>
      <c r="G219" s="10" t="s">
        <v>1040</v>
      </c>
      <c r="H219" s="10" t="n">
        <v>4</v>
      </c>
      <c r="I219" s="10" t="n">
        <v>2</v>
      </c>
      <c r="J219" s="10" t="n">
        <v>3</v>
      </c>
      <c r="K219" s="10" t="n">
        <v>95</v>
      </c>
      <c r="L219" s="10" t="n">
        <v>100</v>
      </c>
      <c r="M219" s="10" t="n">
        <v>140</v>
      </c>
    </row>
    <row r="220" customFormat="false" ht="15" hidden="false" customHeight="false" outlineLevel="0" collapsed="false">
      <c r="A220" s="10" t="s">
        <v>1060</v>
      </c>
      <c r="B220" s="10" t="s">
        <v>395</v>
      </c>
      <c r="C220" s="10" t="s">
        <v>1061</v>
      </c>
      <c r="D220" s="10" t="s">
        <v>450</v>
      </c>
      <c r="E220" s="10" t="s">
        <v>286</v>
      </c>
      <c r="F220" s="10" t="n">
        <v>15</v>
      </c>
      <c r="G220" s="10" t="s">
        <v>1062</v>
      </c>
      <c r="H220" s="10" t="n">
        <v>4</v>
      </c>
      <c r="I220" s="10" t="n">
        <v>2</v>
      </c>
      <c r="J220" s="10" t="n">
        <v>3</v>
      </c>
      <c r="K220" s="10" t="n">
        <v>95</v>
      </c>
      <c r="L220" s="10" t="n">
        <v>100</v>
      </c>
      <c r="M220" s="10" t="n">
        <v>168</v>
      </c>
    </row>
    <row r="221" customFormat="false" ht="15" hidden="false" customHeight="false" outlineLevel="0" collapsed="false">
      <c r="A221" s="10" t="s">
        <v>1063</v>
      </c>
      <c r="B221" s="10" t="s">
        <v>395</v>
      </c>
      <c r="C221" s="10" t="s">
        <v>1064</v>
      </c>
      <c r="D221" s="10" t="s">
        <v>450</v>
      </c>
      <c r="E221" s="10" t="s">
        <v>286</v>
      </c>
      <c r="F221" s="10" t="n">
        <v>14</v>
      </c>
      <c r="G221" s="10" t="s">
        <v>1065</v>
      </c>
      <c r="H221" s="10" t="n">
        <v>4</v>
      </c>
      <c r="I221" s="10" t="n">
        <v>2</v>
      </c>
      <c r="J221" s="10" t="n">
        <v>3</v>
      </c>
      <c r="K221" s="10" t="n">
        <v>95</v>
      </c>
      <c r="L221" s="10" t="n">
        <v>100</v>
      </c>
      <c r="M221" s="10" t="n">
        <v>183</v>
      </c>
    </row>
    <row r="222" customFormat="false" ht="15" hidden="false" customHeight="false" outlineLevel="0" collapsed="false">
      <c r="A222" s="10" t="s">
        <v>1066</v>
      </c>
      <c r="B222" s="10" t="s">
        <v>395</v>
      </c>
      <c r="C222" s="10" t="s">
        <v>1067</v>
      </c>
      <c r="D222" s="10" t="s">
        <v>450</v>
      </c>
      <c r="E222" s="10" t="s">
        <v>286</v>
      </c>
      <c r="F222" s="10" t="n">
        <v>14</v>
      </c>
      <c r="G222" s="10" t="s">
        <v>1068</v>
      </c>
      <c r="H222" s="10" t="n">
        <v>4</v>
      </c>
      <c r="I222" s="10" t="n">
        <v>2</v>
      </c>
      <c r="J222" s="10" t="n">
        <v>5</v>
      </c>
      <c r="K222" s="10" t="n">
        <v>96</v>
      </c>
      <c r="L222" s="10" t="n">
        <v>100</v>
      </c>
      <c r="M222" s="10" t="n">
        <v>159</v>
      </c>
    </row>
    <row r="223" customFormat="false" ht="15" hidden="false" customHeight="false" outlineLevel="0" collapsed="false">
      <c r="A223" s="10" t="s">
        <v>1069</v>
      </c>
      <c r="B223" s="10" t="s">
        <v>395</v>
      </c>
      <c r="C223" s="10" t="s">
        <v>1070</v>
      </c>
      <c r="D223" s="10" t="s">
        <v>450</v>
      </c>
      <c r="E223" s="10" t="s">
        <v>286</v>
      </c>
      <c r="F223" s="10" t="n">
        <v>14</v>
      </c>
      <c r="G223" s="10" t="s">
        <v>1040</v>
      </c>
      <c r="H223" s="10" t="n">
        <v>4</v>
      </c>
      <c r="I223" s="10" t="n">
        <v>2</v>
      </c>
      <c r="J223" s="10" t="n">
        <v>4</v>
      </c>
      <c r="K223" s="10" t="n">
        <v>95</v>
      </c>
      <c r="L223" s="10" t="n">
        <v>100</v>
      </c>
      <c r="M223" s="10" t="n">
        <v>176</v>
      </c>
    </row>
    <row r="224" customFormat="false" ht="15" hidden="false" customHeight="false" outlineLevel="0" collapsed="false">
      <c r="A224" s="10" t="s">
        <v>1071</v>
      </c>
      <c r="B224" s="10" t="s">
        <v>395</v>
      </c>
      <c r="C224" s="10" t="s">
        <v>1072</v>
      </c>
      <c r="D224" s="10" t="s">
        <v>450</v>
      </c>
      <c r="E224" s="10" t="s">
        <v>286</v>
      </c>
      <c r="F224" s="10" t="n">
        <v>13</v>
      </c>
      <c r="G224" s="10" t="s">
        <v>1073</v>
      </c>
      <c r="H224" s="10" t="n">
        <v>4</v>
      </c>
      <c r="I224" s="10" t="n">
        <v>2</v>
      </c>
      <c r="J224" s="10" t="n">
        <v>4</v>
      </c>
      <c r="K224" s="10" t="n">
        <v>95</v>
      </c>
      <c r="L224" s="10" t="n">
        <v>100</v>
      </c>
      <c r="M224" s="10" t="n">
        <v>139</v>
      </c>
    </row>
    <row r="225" customFormat="false" ht="15" hidden="false" customHeight="false" outlineLevel="0" collapsed="false">
      <c r="A225" s="10" t="s">
        <v>1074</v>
      </c>
      <c r="B225" s="10" t="s">
        <v>395</v>
      </c>
      <c r="C225" s="10" t="s">
        <v>1075</v>
      </c>
      <c r="D225" s="10" t="s">
        <v>450</v>
      </c>
      <c r="E225" s="10" t="s">
        <v>286</v>
      </c>
      <c r="F225" s="10" t="n">
        <v>14</v>
      </c>
      <c r="G225" s="10" t="s">
        <v>1065</v>
      </c>
      <c r="H225" s="10" t="n">
        <v>4</v>
      </c>
      <c r="I225" s="10" t="n">
        <v>2</v>
      </c>
      <c r="J225" s="10" t="n">
        <v>3</v>
      </c>
      <c r="K225" s="10" t="n">
        <v>95</v>
      </c>
      <c r="L225" s="10" t="n">
        <v>100</v>
      </c>
      <c r="M225" s="10" t="n">
        <v>174</v>
      </c>
    </row>
    <row r="226" customFormat="false" ht="15" hidden="false" customHeight="false" outlineLevel="0" collapsed="false">
      <c r="A226" s="10" t="s">
        <v>1076</v>
      </c>
      <c r="B226" s="10" t="s">
        <v>395</v>
      </c>
      <c r="C226" s="10" t="s">
        <v>1077</v>
      </c>
      <c r="D226" s="10" t="s">
        <v>401</v>
      </c>
      <c r="E226" s="10" t="s">
        <v>196</v>
      </c>
      <c r="F226" s="10" t="n">
        <v>14</v>
      </c>
      <c r="G226" s="10" t="s">
        <v>1078</v>
      </c>
      <c r="H226" s="10" t="n">
        <v>4</v>
      </c>
      <c r="I226" s="10" t="n">
        <v>2</v>
      </c>
      <c r="J226" s="10" t="n">
        <v>4</v>
      </c>
      <c r="K226" s="10" t="n">
        <v>95</v>
      </c>
      <c r="L226" s="10" t="n">
        <v>100</v>
      </c>
      <c r="M226" s="10" t="n">
        <v>211</v>
      </c>
    </row>
    <row r="227" customFormat="false" ht="15" hidden="false" customHeight="false" outlineLevel="0" collapsed="false">
      <c r="A227" s="10" t="s">
        <v>1079</v>
      </c>
      <c r="B227" s="10" t="s">
        <v>395</v>
      </c>
      <c r="C227" s="10" t="s">
        <v>1080</v>
      </c>
      <c r="D227" s="10" t="s">
        <v>450</v>
      </c>
      <c r="E227" s="10" t="s">
        <v>1039</v>
      </c>
      <c r="F227" s="10" t="n">
        <v>12</v>
      </c>
      <c r="G227" s="10" t="s">
        <v>1081</v>
      </c>
      <c r="H227" s="10" t="n">
        <v>4</v>
      </c>
      <c r="I227" s="10" t="n">
        <v>2</v>
      </c>
      <c r="J227" s="10" t="n">
        <v>3</v>
      </c>
      <c r="K227" s="10" t="n">
        <v>97</v>
      </c>
      <c r="L227" s="10" t="n">
        <v>100</v>
      </c>
      <c r="M227" s="10" t="n">
        <v>114</v>
      </c>
    </row>
    <row r="228" customFormat="false" ht="15" hidden="false" customHeight="false" outlineLevel="0" collapsed="false">
      <c r="A228" s="10" t="s">
        <v>1082</v>
      </c>
      <c r="B228" s="10" t="s">
        <v>395</v>
      </c>
      <c r="C228" s="10" t="s">
        <v>1083</v>
      </c>
      <c r="D228" s="10" t="s">
        <v>405</v>
      </c>
      <c r="E228" s="10" t="s">
        <v>226</v>
      </c>
      <c r="F228" s="10" t="n">
        <v>14</v>
      </c>
      <c r="G228" s="10" t="s">
        <v>1081</v>
      </c>
      <c r="H228" s="10" t="n">
        <v>4</v>
      </c>
      <c r="I228" s="10" t="n">
        <v>2</v>
      </c>
      <c r="J228" s="10" t="n">
        <v>5</v>
      </c>
      <c r="K228" s="10" t="n">
        <v>96</v>
      </c>
      <c r="L228" s="10" t="n">
        <v>100</v>
      </c>
      <c r="M228" s="10" t="n">
        <v>276</v>
      </c>
    </row>
    <row r="229" customFormat="false" ht="15" hidden="false" customHeight="false" outlineLevel="0" collapsed="false">
      <c r="A229" s="10" t="s">
        <v>1084</v>
      </c>
      <c r="B229" s="10" t="s">
        <v>395</v>
      </c>
      <c r="C229" s="10" t="s">
        <v>1085</v>
      </c>
      <c r="D229" s="10" t="s">
        <v>401</v>
      </c>
      <c r="E229" s="10" t="s">
        <v>454</v>
      </c>
      <c r="F229" s="10" t="n">
        <v>12</v>
      </c>
      <c r="G229" s="10" t="s">
        <v>1086</v>
      </c>
      <c r="H229" s="10" t="n">
        <v>4</v>
      </c>
      <c r="I229" s="10" t="n">
        <v>2</v>
      </c>
      <c r="J229" s="10" t="n">
        <v>6</v>
      </c>
      <c r="K229" s="10" t="n">
        <v>98</v>
      </c>
      <c r="L229" s="10" t="n">
        <v>100</v>
      </c>
      <c r="M229" s="10" t="n">
        <v>190</v>
      </c>
    </row>
    <row r="230" customFormat="false" ht="15" hidden="false" customHeight="false" outlineLevel="0" collapsed="false">
      <c r="A230" s="10" t="s">
        <v>1087</v>
      </c>
      <c r="B230" s="10" t="s">
        <v>395</v>
      </c>
      <c r="C230" s="10" t="s">
        <v>1088</v>
      </c>
      <c r="D230" s="10" t="s">
        <v>428</v>
      </c>
      <c r="E230" s="10"/>
      <c r="F230" s="10" t="n">
        <v>14</v>
      </c>
      <c r="G230" s="10" t="s">
        <v>1089</v>
      </c>
      <c r="H230" s="10" t="n">
        <v>4</v>
      </c>
      <c r="I230" s="10" t="n">
        <v>2</v>
      </c>
      <c r="J230" s="10" t="n">
        <v>5</v>
      </c>
      <c r="K230" s="10" t="n">
        <v>92</v>
      </c>
      <c r="L230" s="10" t="n">
        <v>60</v>
      </c>
      <c r="M230" s="10" t="n">
        <v>146</v>
      </c>
    </row>
    <row r="231" customFormat="false" ht="15" hidden="false" customHeight="false" outlineLevel="0" collapsed="false">
      <c r="A231" s="10" t="s">
        <v>1090</v>
      </c>
      <c r="B231" s="10" t="s">
        <v>395</v>
      </c>
      <c r="C231" s="10" t="s">
        <v>1091</v>
      </c>
      <c r="D231" s="10" t="s">
        <v>413</v>
      </c>
      <c r="E231" s="10" t="s">
        <v>152</v>
      </c>
      <c r="F231" s="10" t="n">
        <v>15</v>
      </c>
      <c r="G231" s="10" t="s">
        <v>1092</v>
      </c>
      <c r="H231" s="10" t="n">
        <v>4</v>
      </c>
      <c r="I231" s="10" t="n">
        <v>2</v>
      </c>
      <c r="J231" s="10" t="n">
        <v>7</v>
      </c>
      <c r="K231" s="10" t="n">
        <v>97</v>
      </c>
      <c r="L231" s="10" t="n">
        <v>100</v>
      </c>
      <c r="M231" s="10" t="n">
        <v>151</v>
      </c>
    </row>
    <row r="232" customFormat="false" ht="15" hidden="false" customHeight="false" outlineLevel="0" collapsed="false">
      <c r="A232" s="10" t="s">
        <v>1093</v>
      </c>
      <c r="B232" s="10" t="s">
        <v>395</v>
      </c>
      <c r="C232" s="10" t="s">
        <v>1094</v>
      </c>
      <c r="D232" s="10" t="s">
        <v>465</v>
      </c>
      <c r="E232" s="10" t="s">
        <v>791</v>
      </c>
      <c r="F232" s="10" t="n">
        <v>12</v>
      </c>
      <c r="G232" s="10" t="s">
        <v>1095</v>
      </c>
      <c r="H232" s="10" t="n">
        <v>4</v>
      </c>
      <c r="I232" s="10" t="n">
        <v>2</v>
      </c>
      <c r="J232" s="10" t="n">
        <v>4</v>
      </c>
      <c r="K232" s="10" t="n">
        <v>95</v>
      </c>
      <c r="L232" s="10" t="n">
        <v>100</v>
      </c>
      <c r="M232" s="10" t="n">
        <v>174</v>
      </c>
    </row>
    <row r="233" customFormat="false" ht="15" hidden="false" customHeight="false" outlineLevel="0" collapsed="false">
      <c r="A233" s="10" t="s">
        <v>1096</v>
      </c>
      <c r="B233" s="10" t="s">
        <v>395</v>
      </c>
      <c r="C233" s="10" t="s">
        <v>1097</v>
      </c>
      <c r="D233" s="10" t="s">
        <v>832</v>
      </c>
      <c r="E233" s="10" t="s">
        <v>1098</v>
      </c>
      <c r="F233" s="10" t="n">
        <v>12</v>
      </c>
      <c r="G233" s="10" t="s">
        <v>1099</v>
      </c>
      <c r="H233" s="10" t="n">
        <v>4</v>
      </c>
      <c r="I233" s="10" t="n">
        <v>2</v>
      </c>
      <c r="J233" s="10" t="n">
        <v>4</v>
      </c>
      <c r="K233" s="10" t="n">
        <v>91</v>
      </c>
      <c r="L233" s="10" t="n">
        <v>100</v>
      </c>
      <c r="M233" s="10" t="n">
        <v>217</v>
      </c>
    </row>
    <row r="234" customFormat="false" ht="15" hidden="false" customHeight="false" outlineLevel="0" collapsed="false">
      <c r="A234" s="10" t="s">
        <v>1100</v>
      </c>
      <c r="B234" s="10" t="s">
        <v>395</v>
      </c>
      <c r="C234" s="10" t="s">
        <v>1101</v>
      </c>
      <c r="D234" s="10" t="s">
        <v>683</v>
      </c>
      <c r="E234" s="10" t="s">
        <v>220</v>
      </c>
      <c r="F234" s="10" t="n">
        <v>14</v>
      </c>
      <c r="G234" s="10" t="s">
        <v>1102</v>
      </c>
      <c r="H234" s="10" t="n">
        <v>4</v>
      </c>
      <c r="I234" s="10" t="n">
        <v>2</v>
      </c>
      <c r="J234" s="10" t="n">
        <v>5</v>
      </c>
      <c r="K234" s="10" t="n">
        <v>96</v>
      </c>
      <c r="L234" s="10" t="n">
        <v>100</v>
      </c>
      <c r="M234" s="10" t="n">
        <v>200</v>
      </c>
    </row>
    <row r="235" customFormat="false" ht="15" hidden="false" customHeight="false" outlineLevel="0" collapsed="false">
      <c r="A235" s="10" t="s">
        <v>1103</v>
      </c>
      <c r="B235" s="10" t="s">
        <v>395</v>
      </c>
      <c r="C235" s="10" t="s">
        <v>1104</v>
      </c>
      <c r="D235" s="10" t="s">
        <v>413</v>
      </c>
      <c r="E235" s="10" t="s">
        <v>158</v>
      </c>
      <c r="F235" s="10" t="n">
        <v>14</v>
      </c>
      <c r="G235" s="10" t="s">
        <v>1105</v>
      </c>
      <c r="H235" s="10" t="n">
        <v>4</v>
      </c>
      <c r="I235" s="10" t="n">
        <v>2</v>
      </c>
      <c r="J235" s="10" t="n">
        <v>7</v>
      </c>
      <c r="K235" s="10" t="n">
        <v>97</v>
      </c>
      <c r="L235" s="10" t="n">
        <v>100</v>
      </c>
      <c r="M235" s="10" t="n">
        <v>264</v>
      </c>
    </row>
    <row r="236" customFormat="false" ht="15" hidden="false" customHeight="false" outlineLevel="0" collapsed="false">
      <c r="A236" s="10" t="s">
        <v>1106</v>
      </c>
      <c r="B236" s="10" t="s">
        <v>395</v>
      </c>
      <c r="C236" s="10" t="s">
        <v>1107</v>
      </c>
      <c r="D236" s="10" t="s">
        <v>683</v>
      </c>
      <c r="E236" s="10" t="s">
        <v>90</v>
      </c>
      <c r="F236" s="10" t="n">
        <v>14</v>
      </c>
      <c r="G236" s="10" t="s">
        <v>1108</v>
      </c>
      <c r="H236" s="10" t="n">
        <v>4</v>
      </c>
      <c r="I236" s="10" t="n">
        <v>2</v>
      </c>
      <c r="J236" s="10" t="n">
        <v>5</v>
      </c>
      <c r="K236" s="10" t="n">
        <v>96</v>
      </c>
      <c r="L236" s="10" t="n">
        <v>100</v>
      </c>
      <c r="M236" s="10" t="n">
        <v>170</v>
      </c>
    </row>
    <row r="237" customFormat="false" ht="15" hidden="false" customHeight="false" outlineLevel="0" collapsed="false">
      <c r="A237" s="10" t="s">
        <v>1109</v>
      </c>
      <c r="B237" s="10" t="s">
        <v>395</v>
      </c>
      <c r="C237" s="10" t="s">
        <v>1110</v>
      </c>
      <c r="D237" s="10" t="s">
        <v>413</v>
      </c>
      <c r="E237" s="10" t="s">
        <v>158</v>
      </c>
      <c r="F237" s="10" t="n">
        <v>14</v>
      </c>
      <c r="G237" s="10" t="s">
        <v>1111</v>
      </c>
      <c r="H237" s="10" t="n">
        <v>4</v>
      </c>
      <c r="I237" s="10" t="n">
        <v>2</v>
      </c>
      <c r="J237" s="10" t="n">
        <v>8</v>
      </c>
      <c r="K237" s="10" t="n">
        <v>98</v>
      </c>
      <c r="L237" s="10" t="n">
        <v>100</v>
      </c>
      <c r="M237" s="10" t="n">
        <v>280</v>
      </c>
    </row>
    <row r="238" customFormat="false" ht="15" hidden="false" customHeight="false" outlineLevel="0" collapsed="false">
      <c r="A238" s="10" t="s">
        <v>1112</v>
      </c>
      <c r="B238" s="10" t="s">
        <v>395</v>
      </c>
      <c r="C238" s="10" t="s">
        <v>1113</v>
      </c>
      <c r="D238" s="10" t="s">
        <v>433</v>
      </c>
      <c r="E238" s="10" t="s">
        <v>146</v>
      </c>
      <c r="F238" s="10" t="n">
        <v>14</v>
      </c>
      <c r="G238" s="10" t="s">
        <v>1114</v>
      </c>
      <c r="H238" s="10" t="n">
        <v>4</v>
      </c>
      <c r="I238" s="10" t="n">
        <v>2</v>
      </c>
      <c r="J238" s="10" t="n">
        <v>7</v>
      </c>
      <c r="K238" s="10" t="n">
        <v>94</v>
      </c>
      <c r="L238" s="10" t="n">
        <v>86</v>
      </c>
      <c r="M238" s="10" t="n">
        <v>121</v>
      </c>
    </row>
    <row r="239" customFormat="false" ht="15" hidden="false" customHeight="false" outlineLevel="0" collapsed="false">
      <c r="A239" s="10" t="s">
        <v>1115</v>
      </c>
      <c r="B239" s="10" t="s">
        <v>395</v>
      </c>
      <c r="C239" s="10" t="s">
        <v>1116</v>
      </c>
      <c r="D239" s="10" t="s">
        <v>401</v>
      </c>
      <c r="E239" s="10" t="s">
        <v>196</v>
      </c>
      <c r="F239" s="10" t="n">
        <v>12</v>
      </c>
      <c r="G239" s="10" t="s">
        <v>517</v>
      </c>
      <c r="H239" s="10" t="n">
        <v>4</v>
      </c>
      <c r="I239" s="10" t="n">
        <v>2</v>
      </c>
      <c r="J239" s="10" t="n">
        <v>4</v>
      </c>
      <c r="K239" s="10" t="n">
        <v>95</v>
      </c>
      <c r="L239" s="10" t="n">
        <v>75</v>
      </c>
      <c r="M239" s="10" t="n">
        <v>158</v>
      </c>
    </row>
    <row r="240" customFormat="false" ht="15" hidden="false" customHeight="false" outlineLevel="0" collapsed="false">
      <c r="A240" s="10" t="s">
        <v>1117</v>
      </c>
      <c r="B240" s="10" t="s">
        <v>395</v>
      </c>
      <c r="C240" s="10" t="s">
        <v>1118</v>
      </c>
      <c r="D240" s="10" t="s">
        <v>440</v>
      </c>
      <c r="E240" s="10" t="s">
        <v>203</v>
      </c>
      <c r="F240" s="10" t="n">
        <v>13</v>
      </c>
      <c r="G240" s="10" t="s">
        <v>1119</v>
      </c>
      <c r="H240" s="10" t="n">
        <v>4</v>
      </c>
      <c r="I240" s="10" t="n">
        <v>2</v>
      </c>
      <c r="J240" s="10" t="n">
        <v>4</v>
      </c>
      <c r="K240" s="10" t="n">
        <v>96</v>
      </c>
      <c r="L240" s="10" t="n">
        <v>100</v>
      </c>
      <c r="M240" s="10" t="n">
        <v>149</v>
      </c>
    </row>
    <row r="241" customFormat="false" ht="15" hidden="false" customHeight="false" outlineLevel="0" collapsed="false">
      <c r="A241" s="10" t="s">
        <v>1120</v>
      </c>
      <c r="B241" s="10" t="s">
        <v>395</v>
      </c>
      <c r="C241" s="10" t="s">
        <v>1121</v>
      </c>
      <c r="D241" s="10" t="s">
        <v>461</v>
      </c>
      <c r="E241" s="10"/>
      <c r="F241" s="10" t="n">
        <v>14</v>
      </c>
      <c r="G241" s="10" t="s">
        <v>1122</v>
      </c>
      <c r="H241" s="10" t="n">
        <v>4</v>
      </c>
      <c r="I241" s="10" t="n">
        <v>2</v>
      </c>
      <c r="J241" s="10" t="n">
        <v>5</v>
      </c>
      <c r="K241" s="10" t="n">
        <v>98</v>
      </c>
      <c r="L241" s="10" t="n">
        <v>100</v>
      </c>
      <c r="M241" s="10" t="n">
        <v>263</v>
      </c>
    </row>
    <row r="242" customFormat="false" ht="15" hidden="false" customHeight="false" outlineLevel="0" collapsed="false">
      <c r="A242" s="10" t="s">
        <v>1123</v>
      </c>
      <c r="B242" s="10" t="s">
        <v>395</v>
      </c>
      <c r="C242" s="10" t="s">
        <v>1124</v>
      </c>
      <c r="D242" s="10" t="s">
        <v>683</v>
      </c>
      <c r="E242" s="10" t="s">
        <v>184</v>
      </c>
      <c r="F242" s="10" t="n">
        <v>13</v>
      </c>
      <c r="G242" s="10" t="s">
        <v>1125</v>
      </c>
      <c r="H242" s="10" t="n">
        <v>4</v>
      </c>
      <c r="I242" s="10" t="n">
        <v>2</v>
      </c>
      <c r="J242" s="10" t="n">
        <v>7</v>
      </c>
      <c r="K242" s="10" t="n">
        <v>97</v>
      </c>
      <c r="L242" s="10" t="n">
        <v>100</v>
      </c>
      <c r="M242" s="10" t="n">
        <v>219</v>
      </c>
    </row>
    <row r="243" customFormat="false" ht="15" hidden="false" customHeight="false" outlineLevel="0" collapsed="false">
      <c r="A243" s="10" t="s">
        <v>1126</v>
      </c>
      <c r="B243" s="10" t="s">
        <v>395</v>
      </c>
      <c r="C243" s="10" t="s">
        <v>1127</v>
      </c>
      <c r="D243" s="10" t="s">
        <v>683</v>
      </c>
      <c r="E243" s="10" t="s">
        <v>184</v>
      </c>
      <c r="F243" s="10" t="n">
        <v>13</v>
      </c>
      <c r="G243" s="10" t="s">
        <v>1128</v>
      </c>
      <c r="H243" s="10" t="n">
        <v>4</v>
      </c>
      <c r="I243" s="10" t="n">
        <v>2</v>
      </c>
      <c r="J243" s="10" t="n">
        <v>8</v>
      </c>
      <c r="K243" s="10" t="n">
        <v>97</v>
      </c>
      <c r="L243" s="10" t="n">
        <v>100</v>
      </c>
      <c r="M243" s="10" t="n">
        <v>184</v>
      </c>
    </row>
    <row r="244" customFormat="false" ht="15" hidden="false" customHeight="false" outlineLevel="0" collapsed="false">
      <c r="A244" s="10" t="s">
        <v>1129</v>
      </c>
      <c r="B244" s="10" t="s">
        <v>395</v>
      </c>
      <c r="C244" s="10" t="s">
        <v>1130</v>
      </c>
      <c r="D244" s="10" t="s">
        <v>683</v>
      </c>
      <c r="E244" s="10" t="s">
        <v>184</v>
      </c>
      <c r="F244" s="10" t="n">
        <v>13</v>
      </c>
      <c r="G244" s="10" t="s">
        <v>1131</v>
      </c>
      <c r="H244" s="10" t="n">
        <v>4</v>
      </c>
      <c r="I244" s="10" t="n">
        <v>2</v>
      </c>
      <c r="J244" s="10" t="n">
        <v>7</v>
      </c>
      <c r="K244" s="10" t="n">
        <v>98</v>
      </c>
      <c r="L244" s="10" t="n">
        <v>100</v>
      </c>
      <c r="M244" s="10" t="n">
        <v>203</v>
      </c>
    </row>
    <row r="245" customFormat="false" ht="15" hidden="false" customHeight="false" outlineLevel="0" collapsed="false">
      <c r="A245" s="10" t="s">
        <v>1132</v>
      </c>
      <c r="B245" s="10" t="s">
        <v>395</v>
      </c>
      <c r="C245" s="10" t="s">
        <v>1133</v>
      </c>
      <c r="D245" s="10" t="s">
        <v>683</v>
      </c>
      <c r="E245" s="10" t="s">
        <v>184</v>
      </c>
      <c r="F245" s="10" t="n">
        <v>13</v>
      </c>
      <c r="G245" s="10" t="s">
        <v>1046</v>
      </c>
      <c r="H245" s="10" t="n">
        <v>4</v>
      </c>
      <c r="I245" s="10" t="n">
        <v>2</v>
      </c>
      <c r="J245" s="10" t="n">
        <v>6</v>
      </c>
      <c r="K245" s="10" t="n">
        <v>96</v>
      </c>
      <c r="L245" s="10" t="n">
        <v>100</v>
      </c>
      <c r="M245" s="10" t="n">
        <v>212</v>
      </c>
    </row>
    <row r="246" customFormat="false" ht="15" hidden="false" customHeight="false" outlineLevel="0" collapsed="false">
      <c r="A246" s="10" t="s">
        <v>1134</v>
      </c>
      <c r="B246" s="10" t="s">
        <v>395</v>
      </c>
      <c r="C246" s="10" t="s">
        <v>1135</v>
      </c>
      <c r="D246" s="10" t="s">
        <v>683</v>
      </c>
      <c r="E246" s="10" t="s">
        <v>184</v>
      </c>
      <c r="F246" s="10" t="n">
        <v>13</v>
      </c>
      <c r="G246" s="10" t="s">
        <v>1136</v>
      </c>
      <c r="H246" s="10" t="n">
        <v>4</v>
      </c>
      <c r="I246" s="10" t="n">
        <v>2</v>
      </c>
      <c r="J246" s="10" t="n">
        <v>7</v>
      </c>
      <c r="K246" s="10" t="n">
        <v>97</v>
      </c>
      <c r="L246" s="10" t="n">
        <v>100</v>
      </c>
      <c r="M246" s="10" t="n">
        <v>193</v>
      </c>
    </row>
    <row r="247" customFormat="false" ht="15" hidden="false" customHeight="false" outlineLevel="0" collapsed="false">
      <c r="A247" s="10" t="s">
        <v>1137</v>
      </c>
      <c r="B247" s="10" t="s">
        <v>395</v>
      </c>
      <c r="C247" s="10" t="s">
        <v>1138</v>
      </c>
      <c r="D247" s="10" t="s">
        <v>683</v>
      </c>
      <c r="E247" s="10" t="s">
        <v>184</v>
      </c>
      <c r="F247" s="10" t="n">
        <v>13</v>
      </c>
      <c r="G247" s="10" t="s">
        <v>623</v>
      </c>
      <c r="H247" s="10" t="n">
        <v>4</v>
      </c>
      <c r="I247" s="10" t="n">
        <v>2</v>
      </c>
      <c r="J247" s="10" t="n">
        <v>7</v>
      </c>
      <c r="K247" s="10" t="n">
        <v>97</v>
      </c>
      <c r="L247" s="10" t="n">
        <v>100</v>
      </c>
      <c r="M247" s="10" t="n">
        <v>225</v>
      </c>
    </row>
    <row r="248" customFormat="false" ht="15" hidden="false" customHeight="false" outlineLevel="0" collapsed="false">
      <c r="A248" s="10" t="s">
        <v>1139</v>
      </c>
      <c r="B248" s="10" t="s">
        <v>395</v>
      </c>
      <c r="C248" s="10" t="s">
        <v>1140</v>
      </c>
      <c r="D248" s="10" t="s">
        <v>683</v>
      </c>
      <c r="E248" s="10" t="s">
        <v>184</v>
      </c>
      <c r="F248" s="10" t="n">
        <v>13</v>
      </c>
      <c r="G248" s="10" t="s">
        <v>1131</v>
      </c>
      <c r="H248" s="10" t="n">
        <v>4</v>
      </c>
      <c r="I248" s="10" t="n">
        <v>2</v>
      </c>
      <c r="J248" s="10" t="n">
        <v>9</v>
      </c>
      <c r="K248" s="10" t="n">
        <v>96</v>
      </c>
      <c r="L248" s="10" t="n">
        <v>100</v>
      </c>
      <c r="M248" s="10" t="n">
        <v>222</v>
      </c>
    </row>
    <row r="249" customFormat="false" ht="15" hidden="false" customHeight="false" outlineLevel="0" collapsed="false">
      <c r="A249" s="10" t="s">
        <v>1141</v>
      </c>
      <c r="B249" s="10" t="s">
        <v>395</v>
      </c>
      <c r="C249" s="10" t="s">
        <v>1142</v>
      </c>
      <c r="D249" s="10" t="s">
        <v>683</v>
      </c>
      <c r="E249" s="10" t="s">
        <v>184</v>
      </c>
      <c r="F249" s="10" t="n">
        <v>13</v>
      </c>
      <c r="G249" s="10" t="s">
        <v>1143</v>
      </c>
      <c r="H249" s="10" t="n">
        <v>4</v>
      </c>
      <c r="I249" s="10" t="n">
        <v>2</v>
      </c>
      <c r="J249" s="10" t="n">
        <v>7</v>
      </c>
      <c r="K249" s="10" t="n">
        <v>97</v>
      </c>
      <c r="L249" s="10" t="n">
        <v>100</v>
      </c>
      <c r="M249" s="10" t="n">
        <v>227</v>
      </c>
    </row>
    <row r="250" customFormat="false" ht="15" hidden="false" customHeight="false" outlineLevel="0" collapsed="false">
      <c r="A250" s="10" t="s">
        <v>1144</v>
      </c>
      <c r="B250" s="10" t="s">
        <v>395</v>
      </c>
      <c r="C250" s="10" t="s">
        <v>1145</v>
      </c>
      <c r="D250" s="10" t="s">
        <v>1146</v>
      </c>
      <c r="E250" s="10" t="s">
        <v>331</v>
      </c>
      <c r="F250" s="10" t="n">
        <v>14</v>
      </c>
      <c r="G250" s="10" t="s">
        <v>1147</v>
      </c>
      <c r="H250" s="10" t="n">
        <v>4</v>
      </c>
      <c r="I250" s="10" t="n">
        <v>2</v>
      </c>
      <c r="J250" s="10" t="n">
        <v>6</v>
      </c>
      <c r="K250" s="10" t="n">
        <v>93</v>
      </c>
      <c r="L250" s="10" t="n">
        <v>100</v>
      </c>
      <c r="M250" s="10" t="n">
        <v>99</v>
      </c>
    </row>
    <row r="251" customFormat="false" ht="15" hidden="false" customHeight="false" outlineLevel="0" collapsed="false">
      <c r="A251" s="10" t="s">
        <v>1148</v>
      </c>
      <c r="B251" s="10" t="s">
        <v>395</v>
      </c>
      <c r="C251" s="10" t="s">
        <v>1149</v>
      </c>
      <c r="D251" s="10" t="s">
        <v>1146</v>
      </c>
      <c r="E251" s="10" t="s">
        <v>331</v>
      </c>
      <c r="F251" s="10" t="n">
        <v>14</v>
      </c>
      <c r="G251" s="10" t="s">
        <v>1150</v>
      </c>
      <c r="H251" s="10" t="n">
        <v>4</v>
      </c>
      <c r="I251" s="10" t="n">
        <v>2</v>
      </c>
      <c r="J251" s="10" t="n">
        <v>8</v>
      </c>
      <c r="K251" s="10" t="n">
        <v>94</v>
      </c>
      <c r="L251" s="10" t="n">
        <v>100</v>
      </c>
      <c r="M251" s="10" t="n">
        <v>116</v>
      </c>
    </row>
    <row r="252" customFormat="false" ht="15" hidden="false" customHeight="false" outlineLevel="0" collapsed="false">
      <c r="A252" s="10" t="s">
        <v>1151</v>
      </c>
      <c r="B252" s="10" t="s">
        <v>395</v>
      </c>
      <c r="C252" s="10" t="s">
        <v>1152</v>
      </c>
      <c r="D252" s="10" t="s">
        <v>1146</v>
      </c>
      <c r="E252" s="10" t="s">
        <v>331</v>
      </c>
      <c r="F252" s="10" t="n">
        <v>14</v>
      </c>
      <c r="G252" s="10" t="s">
        <v>629</v>
      </c>
      <c r="H252" s="10" t="n">
        <v>4</v>
      </c>
      <c r="I252" s="10" t="n">
        <v>2</v>
      </c>
      <c r="J252" s="10" t="n">
        <v>8</v>
      </c>
      <c r="K252" s="10" t="n">
        <v>95</v>
      </c>
      <c r="L252" s="10" t="n">
        <v>100</v>
      </c>
      <c r="M252" s="10" t="n">
        <v>99</v>
      </c>
    </row>
    <row r="253" customFormat="false" ht="15" hidden="false" customHeight="false" outlineLevel="0" collapsed="false">
      <c r="A253" s="10" t="s">
        <v>1153</v>
      </c>
      <c r="B253" s="10" t="s">
        <v>395</v>
      </c>
      <c r="C253" s="10" t="s">
        <v>1154</v>
      </c>
      <c r="D253" s="10" t="s">
        <v>1146</v>
      </c>
      <c r="E253" s="10" t="s">
        <v>331</v>
      </c>
      <c r="F253" s="10" t="n">
        <v>14</v>
      </c>
      <c r="G253" s="10" t="s">
        <v>1155</v>
      </c>
      <c r="H253" s="10" t="n">
        <v>4</v>
      </c>
      <c r="I253" s="10" t="n">
        <v>2</v>
      </c>
      <c r="J253" s="10" t="n">
        <v>6</v>
      </c>
      <c r="K253" s="10" t="n">
        <v>95</v>
      </c>
      <c r="L253" s="10" t="n">
        <v>100</v>
      </c>
      <c r="M253" s="10" t="n">
        <v>110</v>
      </c>
    </row>
    <row r="254" customFormat="false" ht="15" hidden="false" customHeight="false" outlineLevel="0" collapsed="false">
      <c r="A254" s="10" t="s">
        <v>1156</v>
      </c>
      <c r="B254" s="10" t="s">
        <v>395</v>
      </c>
      <c r="C254" s="10" t="s">
        <v>1157</v>
      </c>
      <c r="D254" s="10" t="s">
        <v>1146</v>
      </c>
      <c r="E254" s="10" t="s">
        <v>331</v>
      </c>
      <c r="F254" s="10" t="n">
        <v>14</v>
      </c>
      <c r="G254" s="10" t="s">
        <v>1158</v>
      </c>
      <c r="H254" s="10" t="n">
        <v>4</v>
      </c>
      <c r="I254" s="10" t="n">
        <v>2</v>
      </c>
      <c r="J254" s="10" t="n">
        <v>7</v>
      </c>
      <c r="K254" s="10" t="n">
        <v>93</v>
      </c>
      <c r="L254" s="10" t="n">
        <v>100</v>
      </c>
      <c r="M254" s="10" t="n">
        <v>109</v>
      </c>
    </row>
    <row r="255" customFormat="false" ht="15" hidden="false" customHeight="false" outlineLevel="0" collapsed="false">
      <c r="A255" s="10" t="s">
        <v>1159</v>
      </c>
      <c r="B255" s="10" t="s">
        <v>395</v>
      </c>
      <c r="C255" s="10" t="s">
        <v>1160</v>
      </c>
      <c r="D255" s="10" t="s">
        <v>1146</v>
      </c>
      <c r="E255" s="10" t="s">
        <v>331</v>
      </c>
      <c r="F255" s="10" t="n">
        <v>14</v>
      </c>
      <c r="G255" s="10" t="s">
        <v>1161</v>
      </c>
      <c r="H255" s="10" t="n">
        <v>4</v>
      </c>
      <c r="I255" s="10" t="n">
        <v>2</v>
      </c>
      <c r="J255" s="10" t="n">
        <v>6</v>
      </c>
      <c r="K255" s="10" t="n">
        <v>96</v>
      </c>
      <c r="L255" s="10" t="n">
        <v>100</v>
      </c>
      <c r="M255" s="10" t="n">
        <v>135</v>
      </c>
    </row>
    <row r="256" customFormat="false" ht="15" hidden="false" customHeight="false" outlineLevel="0" collapsed="false">
      <c r="A256" s="10" t="s">
        <v>1162</v>
      </c>
      <c r="B256" s="10" t="s">
        <v>395</v>
      </c>
      <c r="C256" s="10" t="s">
        <v>1163</v>
      </c>
      <c r="D256" s="10" t="s">
        <v>1146</v>
      </c>
      <c r="E256" s="10" t="s">
        <v>331</v>
      </c>
      <c r="F256" s="10" t="n">
        <v>15</v>
      </c>
      <c r="G256" s="10" t="s">
        <v>1164</v>
      </c>
      <c r="H256" s="10" t="n">
        <v>4</v>
      </c>
      <c r="I256" s="10" t="n">
        <v>2</v>
      </c>
      <c r="J256" s="10" t="n">
        <v>7</v>
      </c>
      <c r="K256" s="10" t="n">
        <v>94</v>
      </c>
      <c r="L256" s="10" t="n">
        <v>100</v>
      </c>
      <c r="M256" s="10" t="n">
        <v>116</v>
      </c>
    </row>
    <row r="257" customFormat="false" ht="15" hidden="false" customHeight="false" outlineLevel="0" collapsed="false">
      <c r="A257" s="10" t="s">
        <v>1165</v>
      </c>
      <c r="B257" s="10" t="s">
        <v>395</v>
      </c>
      <c r="C257" s="10" t="s">
        <v>1166</v>
      </c>
      <c r="D257" s="10" t="s">
        <v>1146</v>
      </c>
      <c r="E257" s="10" t="s">
        <v>331</v>
      </c>
      <c r="F257" s="10" t="n">
        <v>16</v>
      </c>
      <c r="G257" s="10" t="s">
        <v>1167</v>
      </c>
      <c r="H257" s="10" t="n">
        <v>4</v>
      </c>
      <c r="I257" s="10" t="n">
        <v>2</v>
      </c>
      <c r="J257" s="10" t="n">
        <v>7</v>
      </c>
      <c r="K257" s="10" t="n">
        <v>94</v>
      </c>
      <c r="L257" s="10" t="n">
        <v>100</v>
      </c>
      <c r="M257" s="10" t="n">
        <v>139</v>
      </c>
    </row>
    <row r="258" customFormat="false" ht="15" hidden="false" customHeight="false" outlineLevel="0" collapsed="false">
      <c r="A258" s="10" t="s">
        <v>1168</v>
      </c>
      <c r="B258" s="10" t="s">
        <v>395</v>
      </c>
      <c r="C258" s="10" t="s">
        <v>1169</v>
      </c>
      <c r="D258" s="10" t="s">
        <v>1146</v>
      </c>
      <c r="E258" s="10" t="s">
        <v>331</v>
      </c>
      <c r="F258" s="10" t="n">
        <v>14</v>
      </c>
      <c r="G258" s="10" t="s">
        <v>1170</v>
      </c>
      <c r="H258" s="10" t="n">
        <v>4</v>
      </c>
      <c r="I258" s="10" t="n">
        <v>2</v>
      </c>
      <c r="J258" s="10" t="n">
        <v>6</v>
      </c>
      <c r="K258" s="10" t="n">
        <v>95</v>
      </c>
      <c r="L258" s="10" t="n">
        <v>100</v>
      </c>
      <c r="M258" s="10" t="n">
        <v>105</v>
      </c>
    </row>
    <row r="259" customFormat="false" ht="15" hidden="false" customHeight="false" outlineLevel="0" collapsed="false">
      <c r="A259" s="10" t="s">
        <v>1171</v>
      </c>
      <c r="B259" s="10" t="s">
        <v>395</v>
      </c>
      <c r="C259" s="10" t="s">
        <v>1172</v>
      </c>
      <c r="D259" s="10" t="s">
        <v>1146</v>
      </c>
      <c r="E259" s="10" t="s">
        <v>331</v>
      </c>
      <c r="F259" s="10" t="n">
        <v>13</v>
      </c>
      <c r="G259" s="10" t="s">
        <v>1173</v>
      </c>
      <c r="H259" s="10" t="n">
        <v>4</v>
      </c>
      <c r="I259" s="10" t="n">
        <v>2</v>
      </c>
      <c r="J259" s="10" t="n">
        <v>6</v>
      </c>
      <c r="K259" s="10" t="n">
        <v>94</v>
      </c>
      <c r="L259" s="10" t="n">
        <v>100</v>
      </c>
      <c r="M259" s="10" t="n">
        <v>101</v>
      </c>
    </row>
    <row r="260" customFormat="false" ht="15" hidden="false" customHeight="false" outlineLevel="0" collapsed="false">
      <c r="A260" s="10" t="s">
        <v>1174</v>
      </c>
      <c r="B260" s="10" t="s">
        <v>395</v>
      </c>
      <c r="C260" s="10" t="s">
        <v>1175</v>
      </c>
      <c r="D260" s="10" t="s">
        <v>1146</v>
      </c>
      <c r="E260" s="10" t="s">
        <v>331</v>
      </c>
      <c r="F260" s="10" t="n">
        <v>15</v>
      </c>
      <c r="G260" s="10" t="s">
        <v>1176</v>
      </c>
      <c r="H260" s="10" t="n">
        <v>4</v>
      </c>
      <c r="I260" s="10" t="n">
        <v>2</v>
      </c>
      <c r="J260" s="10" t="n">
        <v>7</v>
      </c>
      <c r="K260" s="10" t="n">
        <v>95</v>
      </c>
      <c r="L260" s="10" t="n">
        <v>100</v>
      </c>
      <c r="M260" s="10" t="n">
        <v>151</v>
      </c>
    </row>
    <row r="261" customFormat="false" ht="15" hidden="false" customHeight="false" outlineLevel="0" collapsed="false">
      <c r="A261" s="10" t="s">
        <v>1177</v>
      </c>
      <c r="B261" s="10" t="s">
        <v>395</v>
      </c>
      <c r="C261" s="10" t="s">
        <v>1178</v>
      </c>
      <c r="D261" s="10" t="s">
        <v>1146</v>
      </c>
      <c r="E261" s="10" t="s">
        <v>331</v>
      </c>
      <c r="F261" s="10" t="n">
        <v>14</v>
      </c>
      <c r="G261" s="10" t="s">
        <v>1179</v>
      </c>
      <c r="H261" s="10" t="n">
        <v>4</v>
      </c>
      <c r="I261" s="10" t="n">
        <v>2</v>
      </c>
      <c r="J261" s="10" t="n">
        <v>6</v>
      </c>
      <c r="K261" s="10" t="n">
        <v>94</v>
      </c>
      <c r="L261" s="10" t="n">
        <v>100</v>
      </c>
      <c r="M261" s="10" t="n">
        <v>128</v>
      </c>
    </row>
    <row r="262" customFormat="false" ht="15" hidden="false" customHeight="false" outlineLevel="0" collapsed="false">
      <c r="A262" s="10" t="s">
        <v>1180</v>
      </c>
      <c r="B262" s="10" t="s">
        <v>395</v>
      </c>
      <c r="C262" s="10" t="s">
        <v>1181</v>
      </c>
      <c r="D262" s="10" t="s">
        <v>683</v>
      </c>
      <c r="E262" s="10" t="s">
        <v>282</v>
      </c>
      <c r="F262" s="10" t="n">
        <v>14</v>
      </c>
      <c r="G262" s="10" t="s">
        <v>1182</v>
      </c>
      <c r="H262" s="10" t="n">
        <v>4</v>
      </c>
      <c r="I262" s="10" t="n">
        <v>2</v>
      </c>
      <c r="J262" s="10" t="n">
        <v>5</v>
      </c>
      <c r="K262" s="10" t="n">
        <v>96</v>
      </c>
      <c r="L262" s="10" t="n">
        <v>100</v>
      </c>
      <c r="M262" s="10" t="n">
        <v>146</v>
      </c>
    </row>
    <row r="263" customFormat="false" ht="15" hidden="false" customHeight="false" outlineLevel="0" collapsed="false">
      <c r="A263" s="10" t="s">
        <v>1183</v>
      </c>
      <c r="B263" s="10" t="s">
        <v>395</v>
      </c>
      <c r="C263" s="10" t="s">
        <v>1184</v>
      </c>
      <c r="D263" s="10" t="s">
        <v>683</v>
      </c>
      <c r="E263" s="10" t="s">
        <v>282</v>
      </c>
      <c r="F263" s="10" t="n">
        <v>15</v>
      </c>
      <c r="G263" s="10" t="s">
        <v>1185</v>
      </c>
      <c r="H263" s="10" t="n">
        <v>4</v>
      </c>
      <c r="I263" s="10" t="n">
        <v>2</v>
      </c>
      <c r="J263" s="10" t="n">
        <v>5</v>
      </c>
      <c r="K263" s="10" t="n">
        <v>95</v>
      </c>
      <c r="L263" s="10" t="n">
        <v>100</v>
      </c>
      <c r="M263" s="10" t="n">
        <v>180</v>
      </c>
    </row>
    <row r="264" customFormat="false" ht="15" hidden="false" customHeight="false" outlineLevel="0" collapsed="false">
      <c r="A264" s="10" t="s">
        <v>1186</v>
      </c>
      <c r="B264" s="10" t="s">
        <v>395</v>
      </c>
      <c r="C264" s="10" t="s">
        <v>1187</v>
      </c>
      <c r="D264" s="10" t="s">
        <v>683</v>
      </c>
      <c r="E264" s="10" t="s">
        <v>282</v>
      </c>
      <c r="F264" s="10" t="n">
        <v>14</v>
      </c>
      <c r="G264" s="10" t="s">
        <v>1188</v>
      </c>
      <c r="H264" s="10" t="n">
        <v>4</v>
      </c>
      <c r="I264" s="10" t="n">
        <v>2</v>
      </c>
      <c r="J264" s="10" t="n">
        <v>5</v>
      </c>
      <c r="K264" s="10" t="n">
        <v>97</v>
      </c>
      <c r="L264" s="10" t="n">
        <v>100</v>
      </c>
      <c r="M264" s="10" t="n">
        <v>210</v>
      </c>
    </row>
    <row r="265" customFormat="false" ht="15" hidden="false" customHeight="false" outlineLevel="0" collapsed="false">
      <c r="A265" s="10" t="s">
        <v>1189</v>
      </c>
      <c r="B265" s="10" t="s">
        <v>395</v>
      </c>
      <c r="C265" s="10" t="s">
        <v>1190</v>
      </c>
      <c r="D265" s="10" t="s">
        <v>683</v>
      </c>
      <c r="E265" s="10" t="s">
        <v>282</v>
      </c>
      <c r="F265" s="10" t="n">
        <v>14</v>
      </c>
      <c r="G265" s="10" t="s">
        <v>1191</v>
      </c>
      <c r="H265" s="10" t="n">
        <v>4</v>
      </c>
      <c r="I265" s="10" t="n">
        <v>2</v>
      </c>
      <c r="J265" s="10" t="n">
        <v>7</v>
      </c>
      <c r="K265" s="10" t="n">
        <v>96</v>
      </c>
      <c r="L265" s="10" t="n">
        <v>100</v>
      </c>
      <c r="M265" s="10" t="n">
        <v>149</v>
      </c>
    </row>
    <row r="266" customFormat="false" ht="15" hidden="false" customHeight="false" outlineLevel="0" collapsed="false">
      <c r="A266" s="10" t="s">
        <v>1192</v>
      </c>
      <c r="B266" s="10" t="s">
        <v>395</v>
      </c>
      <c r="C266" s="10" t="s">
        <v>1193</v>
      </c>
      <c r="D266" s="10" t="s">
        <v>683</v>
      </c>
      <c r="E266" s="10" t="s">
        <v>282</v>
      </c>
      <c r="F266" s="10" t="n">
        <v>15</v>
      </c>
      <c r="G266" s="10" t="s">
        <v>1191</v>
      </c>
      <c r="H266" s="10" t="n">
        <v>4</v>
      </c>
      <c r="I266" s="10" t="n">
        <v>2</v>
      </c>
      <c r="J266" s="10" t="n">
        <v>6</v>
      </c>
      <c r="K266" s="10" t="n">
        <v>95</v>
      </c>
      <c r="L266" s="10" t="n">
        <v>100</v>
      </c>
      <c r="M266" s="10" t="n">
        <v>146</v>
      </c>
    </row>
    <row r="267" customFormat="false" ht="15" hidden="false" customHeight="false" outlineLevel="0" collapsed="false">
      <c r="A267" s="10" t="s">
        <v>1194</v>
      </c>
      <c r="B267" s="10" t="s">
        <v>395</v>
      </c>
      <c r="C267" s="10" t="s">
        <v>1195</v>
      </c>
      <c r="D267" s="10" t="s">
        <v>683</v>
      </c>
      <c r="E267" s="10" t="s">
        <v>282</v>
      </c>
      <c r="F267" s="10" t="n">
        <v>15</v>
      </c>
      <c r="G267" s="10" t="s">
        <v>1196</v>
      </c>
      <c r="H267" s="10" t="n">
        <v>4</v>
      </c>
      <c r="I267" s="10" t="n">
        <v>2</v>
      </c>
      <c r="J267" s="10" t="n">
        <v>5</v>
      </c>
      <c r="K267" s="10" t="n">
        <v>96</v>
      </c>
      <c r="L267" s="10" t="n">
        <v>100</v>
      </c>
      <c r="M267" s="10" t="n">
        <v>173</v>
      </c>
    </row>
    <row r="268" customFormat="false" ht="15" hidden="false" customHeight="false" outlineLevel="0" collapsed="false">
      <c r="A268" s="10" t="s">
        <v>1197</v>
      </c>
      <c r="B268" s="10" t="s">
        <v>395</v>
      </c>
      <c r="C268" s="10" t="s">
        <v>1198</v>
      </c>
      <c r="D268" s="10" t="s">
        <v>683</v>
      </c>
      <c r="E268" s="10" t="s">
        <v>282</v>
      </c>
      <c r="F268" s="10" t="n">
        <v>15</v>
      </c>
      <c r="G268" s="10" t="s">
        <v>1199</v>
      </c>
      <c r="H268" s="10" t="n">
        <v>4</v>
      </c>
      <c r="I268" s="10" t="n">
        <v>2</v>
      </c>
      <c r="J268" s="10" t="n">
        <v>8</v>
      </c>
      <c r="K268" s="10" t="n">
        <v>95</v>
      </c>
      <c r="L268" s="10" t="n">
        <v>100</v>
      </c>
      <c r="M268" s="10" t="n">
        <v>156</v>
      </c>
    </row>
    <row r="269" customFormat="false" ht="15" hidden="false" customHeight="false" outlineLevel="0" collapsed="false">
      <c r="A269" s="10" t="s">
        <v>1200</v>
      </c>
      <c r="B269" s="10" t="s">
        <v>395</v>
      </c>
      <c r="C269" s="10" t="s">
        <v>1201</v>
      </c>
      <c r="D269" s="10" t="s">
        <v>683</v>
      </c>
      <c r="E269" s="10" t="s">
        <v>282</v>
      </c>
      <c r="F269" s="10" t="n">
        <v>14</v>
      </c>
      <c r="G269" s="10" t="s">
        <v>1202</v>
      </c>
      <c r="H269" s="10" t="n">
        <v>4</v>
      </c>
      <c r="I269" s="10" t="n">
        <v>2</v>
      </c>
      <c r="J269" s="10" t="n">
        <v>5</v>
      </c>
      <c r="K269" s="10" t="n">
        <v>95</v>
      </c>
      <c r="L269" s="10" t="n">
        <v>100</v>
      </c>
      <c r="M269" s="10" t="n">
        <v>152</v>
      </c>
    </row>
    <row r="270" customFormat="false" ht="15" hidden="false" customHeight="false" outlineLevel="0" collapsed="false">
      <c r="A270" s="10" t="s">
        <v>1203</v>
      </c>
      <c r="B270" s="10" t="s">
        <v>395</v>
      </c>
      <c r="C270" s="10" t="s">
        <v>1204</v>
      </c>
      <c r="D270" s="10" t="s">
        <v>433</v>
      </c>
      <c r="E270" s="10" t="s">
        <v>340</v>
      </c>
      <c r="F270" s="10" t="n">
        <v>13</v>
      </c>
      <c r="G270" s="10" t="s">
        <v>1205</v>
      </c>
      <c r="H270" s="10" t="n">
        <v>4</v>
      </c>
      <c r="I270" s="10" t="n">
        <v>2</v>
      </c>
      <c r="J270" s="10" t="n">
        <v>7</v>
      </c>
      <c r="K270" s="10" t="n">
        <v>94</v>
      </c>
      <c r="L270" s="10" t="n">
        <v>100</v>
      </c>
      <c r="M270" s="10" t="n">
        <v>131</v>
      </c>
    </row>
    <row r="271" customFormat="false" ht="15" hidden="false" customHeight="false" outlineLevel="0" collapsed="false">
      <c r="A271" s="10" t="s">
        <v>1206</v>
      </c>
      <c r="B271" s="10" t="s">
        <v>395</v>
      </c>
      <c r="C271" s="10" t="s">
        <v>1207</v>
      </c>
      <c r="D271" s="10" t="s">
        <v>433</v>
      </c>
      <c r="E271" s="10" t="s">
        <v>340</v>
      </c>
      <c r="F271" s="10" t="n">
        <v>14</v>
      </c>
      <c r="G271" s="10" t="s">
        <v>1208</v>
      </c>
      <c r="H271" s="10" t="n">
        <v>4</v>
      </c>
      <c r="I271" s="10" t="n">
        <v>2</v>
      </c>
      <c r="J271" s="10" t="n">
        <v>4</v>
      </c>
      <c r="K271" s="10" t="n">
        <v>94</v>
      </c>
      <c r="L271" s="10" t="n">
        <v>100</v>
      </c>
      <c r="M271" s="10" t="n">
        <v>137</v>
      </c>
    </row>
    <row r="272" customFormat="false" ht="15" hidden="false" customHeight="false" outlineLevel="0" collapsed="false">
      <c r="A272" s="10" t="s">
        <v>1209</v>
      </c>
      <c r="B272" s="10" t="s">
        <v>395</v>
      </c>
      <c r="C272" s="10" t="s">
        <v>1210</v>
      </c>
      <c r="D272" s="10" t="s">
        <v>433</v>
      </c>
      <c r="E272" s="10" t="s">
        <v>340</v>
      </c>
      <c r="F272" s="10" t="n">
        <v>14</v>
      </c>
      <c r="G272" s="10" t="s">
        <v>1211</v>
      </c>
      <c r="H272" s="10" t="n">
        <v>4</v>
      </c>
      <c r="I272" s="10" t="n">
        <v>2</v>
      </c>
      <c r="J272" s="10" t="n">
        <v>10</v>
      </c>
      <c r="K272" s="10" t="n">
        <v>92</v>
      </c>
      <c r="L272" s="10" t="n">
        <v>100</v>
      </c>
      <c r="M272" s="10" t="n">
        <v>142</v>
      </c>
    </row>
    <row r="273" customFormat="false" ht="15" hidden="false" customHeight="false" outlineLevel="0" collapsed="false">
      <c r="A273" s="10" t="s">
        <v>1212</v>
      </c>
      <c r="B273" s="10" t="s">
        <v>395</v>
      </c>
      <c r="C273" s="10" t="s">
        <v>1213</v>
      </c>
      <c r="D273" s="10" t="s">
        <v>433</v>
      </c>
      <c r="E273" s="10" t="s">
        <v>340</v>
      </c>
      <c r="F273" s="10" t="n">
        <v>15</v>
      </c>
      <c r="G273" s="10" t="s">
        <v>1214</v>
      </c>
      <c r="H273" s="10" t="n">
        <v>4</v>
      </c>
      <c r="I273" s="10" t="n">
        <v>2</v>
      </c>
      <c r="J273" s="10" t="n">
        <v>7</v>
      </c>
      <c r="K273" s="10" t="n">
        <v>94</v>
      </c>
      <c r="L273" s="10" t="n">
        <v>100</v>
      </c>
      <c r="M273" s="10" t="n">
        <v>167</v>
      </c>
    </row>
    <row r="274" customFormat="false" ht="15" hidden="false" customHeight="false" outlineLevel="0" collapsed="false">
      <c r="A274" s="10" t="s">
        <v>1215</v>
      </c>
      <c r="B274" s="10" t="s">
        <v>395</v>
      </c>
      <c r="C274" s="10" t="s">
        <v>1216</v>
      </c>
      <c r="D274" s="10" t="s">
        <v>433</v>
      </c>
      <c r="E274" s="10" t="s">
        <v>340</v>
      </c>
      <c r="F274" s="10" t="n">
        <v>14</v>
      </c>
      <c r="G274" s="10" t="s">
        <v>1217</v>
      </c>
      <c r="H274" s="10" t="n">
        <v>4</v>
      </c>
      <c r="I274" s="10" t="n">
        <v>2</v>
      </c>
      <c r="J274" s="10" t="n">
        <v>5</v>
      </c>
      <c r="K274" s="10" t="n">
        <v>93</v>
      </c>
      <c r="L274" s="10" t="n">
        <v>100</v>
      </c>
      <c r="M274" s="10" t="n">
        <v>120</v>
      </c>
    </row>
    <row r="275" customFormat="false" ht="15" hidden="false" customHeight="false" outlineLevel="0" collapsed="false">
      <c r="A275" s="10" t="s">
        <v>1218</v>
      </c>
      <c r="B275" s="10" t="s">
        <v>395</v>
      </c>
      <c r="C275" s="10" t="s">
        <v>1219</v>
      </c>
      <c r="D275" s="10" t="s">
        <v>433</v>
      </c>
      <c r="E275" s="10" t="s">
        <v>340</v>
      </c>
      <c r="F275" s="10" t="n">
        <v>15</v>
      </c>
      <c r="G275" s="10" t="s">
        <v>1220</v>
      </c>
      <c r="H275" s="10" t="n">
        <v>4</v>
      </c>
      <c r="I275" s="10" t="n">
        <v>2</v>
      </c>
      <c r="J275" s="10" t="n">
        <v>5</v>
      </c>
      <c r="K275" s="10" t="n">
        <v>92</v>
      </c>
      <c r="L275" s="10" t="n">
        <v>100</v>
      </c>
      <c r="M275" s="10" t="n">
        <v>149</v>
      </c>
    </row>
    <row r="276" customFormat="false" ht="15" hidden="false" customHeight="false" outlineLevel="0" collapsed="false">
      <c r="A276" s="10" t="s">
        <v>1221</v>
      </c>
      <c r="B276" s="10" t="s">
        <v>395</v>
      </c>
      <c r="C276" s="10" t="s">
        <v>1222</v>
      </c>
      <c r="D276" s="10" t="s">
        <v>433</v>
      </c>
      <c r="E276" s="10" t="s">
        <v>340</v>
      </c>
      <c r="F276" s="10" t="n">
        <v>14</v>
      </c>
      <c r="G276" s="10" t="s">
        <v>1223</v>
      </c>
      <c r="H276" s="10" t="n">
        <v>4</v>
      </c>
      <c r="I276" s="10" t="n">
        <v>2</v>
      </c>
      <c r="J276" s="10" t="n">
        <v>6</v>
      </c>
      <c r="K276" s="10" t="n">
        <v>94</v>
      </c>
      <c r="L276" s="10" t="n">
        <v>100</v>
      </c>
      <c r="M276" s="10" t="n">
        <v>146</v>
      </c>
    </row>
    <row r="277" customFormat="false" ht="15" hidden="false" customHeight="false" outlineLevel="0" collapsed="false">
      <c r="A277" s="10" t="s">
        <v>1224</v>
      </c>
      <c r="B277" s="10" t="s">
        <v>395</v>
      </c>
      <c r="C277" s="10" t="s">
        <v>1225</v>
      </c>
      <c r="D277" s="10" t="s">
        <v>433</v>
      </c>
      <c r="E277" s="10" t="s">
        <v>340</v>
      </c>
      <c r="F277" s="10" t="n">
        <v>14</v>
      </c>
      <c r="G277" s="10" t="s">
        <v>1226</v>
      </c>
      <c r="H277" s="10" t="n">
        <v>4</v>
      </c>
      <c r="I277" s="10" t="n">
        <v>2</v>
      </c>
      <c r="J277" s="10" t="n">
        <v>7</v>
      </c>
      <c r="K277" s="10" t="n">
        <v>92</v>
      </c>
      <c r="L277" s="10" t="n">
        <v>100</v>
      </c>
      <c r="M277" s="10" t="n">
        <v>151</v>
      </c>
    </row>
    <row r="278" customFormat="false" ht="15" hidden="false" customHeight="false" outlineLevel="0" collapsed="false">
      <c r="A278" s="10" t="s">
        <v>1227</v>
      </c>
      <c r="B278" s="10" t="s">
        <v>395</v>
      </c>
      <c r="C278" s="10" t="s">
        <v>1228</v>
      </c>
      <c r="D278" s="10" t="s">
        <v>832</v>
      </c>
      <c r="E278" s="10"/>
      <c r="F278" s="10" t="n">
        <v>15</v>
      </c>
      <c r="G278" s="10" t="s">
        <v>1229</v>
      </c>
      <c r="H278" s="10" t="n">
        <v>6</v>
      </c>
      <c r="I278" s="10" t="n">
        <v>2</v>
      </c>
      <c r="J278" s="10" t="n">
        <v>4</v>
      </c>
      <c r="K278" s="10" t="n">
        <v>95</v>
      </c>
      <c r="L278" s="10" t="n">
        <v>100</v>
      </c>
      <c r="M278" s="10" t="n">
        <v>210</v>
      </c>
    </row>
    <row r="279" customFormat="false" ht="15" hidden="false" customHeight="false" outlineLevel="0" collapsed="false">
      <c r="A279" s="10" t="s">
        <v>1230</v>
      </c>
      <c r="B279" s="10" t="s">
        <v>395</v>
      </c>
      <c r="C279" s="10" t="s">
        <v>1231</v>
      </c>
      <c r="D279" s="10" t="s">
        <v>433</v>
      </c>
      <c r="E279" s="10" t="s">
        <v>146</v>
      </c>
      <c r="F279" s="10" t="n">
        <v>14</v>
      </c>
      <c r="G279" s="10" t="s">
        <v>1232</v>
      </c>
      <c r="H279" s="10" t="n">
        <v>4</v>
      </c>
      <c r="I279" s="10" t="n">
        <v>2</v>
      </c>
      <c r="J279" s="10" t="n">
        <v>6</v>
      </c>
      <c r="K279" s="10" t="n">
        <v>95</v>
      </c>
      <c r="L279" s="10" t="n">
        <v>83</v>
      </c>
      <c r="M279" s="10" t="n">
        <v>160</v>
      </c>
    </row>
    <row r="280" customFormat="false" ht="15" hidden="false" customHeight="false" outlineLevel="0" collapsed="false">
      <c r="A280" s="10" t="s">
        <v>1233</v>
      </c>
      <c r="B280" s="10" t="s">
        <v>395</v>
      </c>
      <c r="C280" s="10" t="s">
        <v>1234</v>
      </c>
      <c r="D280" s="10" t="s">
        <v>433</v>
      </c>
      <c r="E280" s="10" t="s">
        <v>146</v>
      </c>
      <c r="F280" s="10" t="n">
        <v>13</v>
      </c>
      <c r="G280" s="10" t="s">
        <v>1235</v>
      </c>
      <c r="H280" s="10" t="n">
        <v>4</v>
      </c>
      <c r="I280" s="10" t="n">
        <v>2</v>
      </c>
      <c r="J280" s="10" t="n">
        <v>5</v>
      </c>
      <c r="K280" s="10" t="n">
        <v>94</v>
      </c>
      <c r="L280" s="10" t="n">
        <v>80</v>
      </c>
      <c r="M280" s="10" t="n">
        <v>151</v>
      </c>
    </row>
    <row r="281" customFormat="false" ht="15" hidden="false" customHeight="false" outlineLevel="0" collapsed="false">
      <c r="A281" s="10" t="s">
        <v>1236</v>
      </c>
      <c r="B281" s="10" t="s">
        <v>395</v>
      </c>
      <c r="C281" s="10" t="s">
        <v>1237</v>
      </c>
      <c r="D281" s="10" t="s">
        <v>417</v>
      </c>
      <c r="E281" s="10" t="s">
        <v>139</v>
      </c>
      <c r="F281" s="10" t="n">
        <v>12</v>
      </c>
      <c r="G281" s="10" t="s">
        <v>1238</v>
      </c>
      <c r="H281" s="10" t="n">
        <v>4</v>
      </c>
      <c r="I281" s="10" t="n">
        <v>2</v>
      </c>
      <c r="J281" s="10" t="n">
        <v>5</v>
      </c>
      <c r="K281" s="10" t="n">
        <v>93</v>
      </c>
      <c r="L281" s="10" t="n">
        <v>80</v>
      </c>
      <c r="M281" s="10" t="n">
        <v>199</v>
      </c>
    </row>
    <row r="282" customFormat="false" ht="15" hidden="false" customHeight="false" outlineLevel="0" collapsed="false">
      <c r="A282" s="10" t="s">
        <v>1239</v>
      </c>
      <c r="B282" s="10" t="s">
        <v>395</v>
      </c>
      <c r="C282" s="10" t="s">
        <v>1240</v>
      </c>
      <c r="D282" s="10" t="s">
        <v>401</v>
      </c>
      <c r="E282" s="10" t="s">
        <v>196</v>
      </c>
      <c r="F282" s="10" t="n">
        <v>13</v>
      </c>
      <c r="G282" s="10" t="s">
        <v>618</v>
      </c>
      <c r="H282" s="10" t="n">
        <v>4</v>
      </c>
      <c r="I282" s="10" t="n">
        <v>2</v>
      </c>
      <c r="J282" s="10" t="n">
        <v>6</v>
      </c>
      <c r="K282" s="10" t="n">
        <v>90</v>
      </c>
      <c r="L282" s="10" t="n">
        <v>50</v>
      </c>
      <c r="M282" s="10" t="n">
        <v>200</v>
      </c>
    </row>
    <row r="283" customFormat="false" ht="15" hidden="false" customHeight="false" outlineLevel="0" collapsed="false">
      <c r="A283" s="10" t="s">
        <v>1241</v>
      </c>
      <c r="B283" s="10" t="s">
        <v>395</v>
      </c>
      <c r="C283" s="10" t="s">
        <v>1242</v>
      </c>
      <c r="D283" s="10" t="s">
        <v>499</v>
      </c>
      <c r="E283" s="10" t="s">
        <v>240</v>
      </c>
      <c r="F283" s="10" t="n">
        <v>13</v>
      </c>
      <c r="G283" s="10" t="s">
        <v>1243</v>
      </c>
      <c r="H283" s="10" t="n">
        <v>4</v>
      </c>
      <c r="I283" s="10" t="n">
        <v>2</v>
      </c>
      <c r="J283" s="10" t="n">
        <v>4</v>
      </c>
      <c r="K283" s="10" t="n">
        <v>93</v>
      </c>
      <c r="L283" s="10" t="n">
        <v>75</v>
      </c>
      <c r="M283" s="10" t="n">
        <v>168</v>
      </c>
    </row>
    <row r="284" customFormat="false" ht="15" hidden="false" customHeight="false" outlineLevel="0" collapsed="false">
      <c r="A284" s="10" t="s">
        <v>1244</v>
      </c>
      <c r="B284" s="10" t="s">
        <v>395</v>
      </c>
      <c r="C284" s="10" t="s">
        <v>1245</v>
      </c>
      <c r="D284" s="10" t="s">
        <v>405</v>
      </c>
      <c r="E284" s="10"/>
      <c r="F284" s="10" t="n">
        <v>14</v>
      </c>
      <c r="G284" s="10" t="s">
        <v>1246</v>
      </c>
      <c r="H284" s="10" t="n">
        <v>4</v>
      </c>
      <c r="I284" s="10" t="n">
        <v>2</v>
      </c>
      <c r="J284" s="10" t="n">
        <v>4</v>
      </c>
      <c r="K284" s="10" t="n">
        <v>97</v>
      </c>
      <c r="L284" s="10" t="n">
        <v>100</v>
      </c>
      <c r="M284" s="10" t="n">
        <v>225</v>
      </c>
    </row>
    <row r="285" customFormat="false" ht="15" hidden="false" customHeight="false" outlineLevel="0" collapsed="false">
      <c r="A285" s="10" t="s">
        <v>1247</v>
      </c>
      <c r="B285" s="10" t="s">
        <v>395</v>
      </c>
      <c r="C285" s="10" t="s">
        <v>1248</v>
      </c>
      <c r="D285" s="10" t="s">
        <v>401</v>
      </c>
      <c r="E285" s="10" t="s">
        <v>196</v>
      </c>
      <c r="F285" s="10" t="n">
        <v>13</v>
      </c>
      <c r="G285" s="10" t="s">
        <v>1249</v>
      </c>
      <c r="H285" s="10" t="n">
        <v>4</v>
      </c>
      <c r="I285" s="10" t="n">
        <v>2</v>
      </c>
      <c r="J285" s="10" t="n">
        <v>5</v>
      </c>
      <c r="K285" s="10" t="n">
        <v>98</v>
      </c>
      <c r="L285" s="10" t="n">
        <v>100</v>
      </c>
      <c r="M285" s="10" t="n">
        <v>174</v>
      </c>
    </row>
    <row r="286" customFormat="false" ht="15" hidden="false" customHeight="false" outlineLevel="0" collapsed="false">
      <c r="A286" s="10" t="s">
        <v>1250</v>
      </c>
      <c r="B286" s="10" t="s">
        <v>395</v>
      </c>
      <c r="C286" s="10" t="s">
        <v>1251</v>
      </c>
      <c r="D286" s="10" t="s">
        <v>300</v>
      </c>
      <c r="E286" s="10" t="s">
        <v>299</v>
      </c>
      <c r="F286" s="10" t="n">
        <v>15</v>
      </c>
      <c r="G286" s="10" t="s">
        <v>1252</v>
      </c>
      <c r="H286" s="10" t="n">
        <v>4</v>
      </c>
      <c r="I286" s="10" t="n">
        <v>2</v>
      </c>
      <c r="J286" s="10" t="n">
        <v>5</v>
      </c>
      <c r="K286" s="10" t="n">
        <v>96</v>
      </c>
      <c r="L286" s="10" t="n">
        <v>100</v>
      </c>
      <c r="M286" s="10" t="n">
        <v>157</v>
      </c>
    </row>
    <row r="287" customFormat="false" ht="15" hidden="false" customHeight="false" outlineLevel="0" collapsed="false">
      <c r="A287" s="10" t="s">
        <v>1253</v>
      </c>
      <c r="B287" s="10" t="s">
        <v>395</v>
      </c>
      <c r="C287" s="10" t="s">
        <v>1254</v>
      </c>
      <c r="D287" s="10" t="s">
        <v>300</v>
      </c>
      <c r="E287" s="10" t="s">
        <v>299</v>
      </c>
      <c r="F287" s="10" t="n">
        <v>15</v>
      </c>
      <c r="G287" s="10" t="s">
        <v>1255</v>
      </c>
      <c r="H287" s="10" t="n">
        <v>4</v>
      </c>
      <c r="I287" s="10" t="n">
        <v>2</v>
      </c>
      <c r="J287" s="10" t="n">
        <v>6</v>
      </c>
      <c r="K287" s="10" t="n">
        <v>97</v>
      </c>
      <c r="L287" s="10" t="n">
        <v>100</v>
      </c>
      <c r="M287" s="10" t="n">
        <v>154</v>
      </c>
    </row>
    <row r="288" customFormat="false" ht="15" hidden="false" customHeight="false" outlineLevel="0" collapsed="false">
      <c r="A288" s="10" t="s">
        <v>1256</v>
      </c>
      <c r="B288" s="10" t="s">
        <v>395</v>
      </c>
      <c r="C288" s="10" t="s">
        <v>1257</v>
      </c>
      <c r="D288" s="10" t="s">
        <v>300</v>
      </c>
      <c r="E288" s="10" t="s">
        <v>299</v>
      </c>
      <c r="F288" s="10" t="n">
        <v>13</v>
      </c>
      <c r="G288" s="10" t="s">
        <v>1258</v>
      </c>
      <c r="H288" s="10" t="n">
        <v>4</v>
      </c>
      <c r="I288" s="10" t="n">
        <v>2</v>
      </c>
      <c r="J288" s="10" t="n">
        <v>5</v>
      </c>
      <c r="K288" s="10" t="n">
        <v>97</v>
      </c>
      <c r="L288" s="10" t="n">
        <v>100</v>
      </c>
      <c r="M288" s="10" t="n">
        <v>187</v>
      </c>
    </row>
    <row r="289" customFormat="false" ht="15" hidden="false" customHeight="false" outlineLevel="0" collapsed="false">
      <c r="A289" s="10" t="s">
        <v>1259</v>
      </c>
      <c r="B289" s="10" t="s">
        <v>395</v>
      </c>
      <c r="C289" s="10" t="s">
        <v>1260</v>
      </c>
      <c r="D289" s="10" t="s">
        <v>300</v>
      </c>
      <c r="E289" s="10" t="s">
        <v>299</v>
      </c>
      <c r="F289" s="10" t="n">
        <v>14</v>
      </c>
      <c r="G289" s="10" t="s">
        <v>1261</v>
      </c>
      <c r="H289" s="10" t="n">
        <v>4</v>
      </c>
      <c r="I289" s="10" t="n">
        <v>2</v>
      </c>
      <c r="J289" s="10" t="n">
        <v>6</v>
      </c>
      <c r="K289" s="10" t="n">
        <v>96</v>
      </c>
      <c r="L289" s="10" t="n">
        <v>100</v>
      </c>
      <c r="M289" s="10" t="n">
        <v>158</v>
      </c>
    </row>
    <row r="290" customFormat="false" ht="15" hidden="false" customHeight="false" outlineLevel="0" collapsed="false">
      <c r="A290" s="10" t="s">
        <v>1262</v>
      </c>
      <c r="B290" s="10" t="s">
        <v>395</v>
      </c>
      <c r="C290" s="10" t="s">
        <v>1263</v>
      </c>
      <c r="D290" s="10" t="s">
        <v>300</v>
      </c>
      <c r="E290" s="10" t="s">
        <v>299</v>
      </c>
      <c r="F290" s="10" t="n">
        <v>14</v>
      </c>
      <c r="G290" s="10" t="s">
        <v>822</v>
      </c>
      <c r="H290" s="10" t="n">
        <v>4</v>
      </c>
      <c r="I290" s="10" t="n">
        <v>2</v>
      </c>
      <c r="J290" s="10" t="n">
        <v>5</v>
      </c>
      <c r="K290" s="10" t="n">
        <v>97</v>
      </c>
      <c r="L290" s="10" t="n">
        <v>100</v>
      </c>
      <c r="M290" s="10" t="n">
        <v>157</v>
      </c>
    </row>
    <row r="291" customFormat="false" ht="15" hidden="false" customHeight="false" outlineLevel="0" collapsed="false">
      <c r="A291" s="10" t="s">
        <v>1264</v>
      </c>
      <c r="B291" s="10" t="s">
        <v>395</v>
      </c>
      <c r="C291" s="10" t="s">
        <v>1265</v>
      </c>
      <c r="D291" s="10" t="s">
        <v>300</v>
      </c>
      <c r="E291" s="10" t="s">
        <v>299</v>
      </c>
      <c r="F291" s="10" t="n">
        <v>14</v>
      </c>
      <c r="G291" s="10" t="s">
        <v>1266</v>
      </c>
      <c r="H291" s="10" t="n">
        <v>4</v>
      </c>
      <c r="I291" s="10" t="n">
        <v>2</v>
      </c>
      <c r="J291" s="10" t="n">
        <v>5</v>
      </c>
      <c r="K291" s="10" t="n">
        <v>96</v>
      </c>
      <c r="L291" s="10" t="n">
        <v>100</v>
      </c>
      <c r="M291" s="10" t="n">
        <v>178</v>
      </c>
    </row>
    <row r="292" customFormat="false" ht="15" hidden="false" customHeight="false" outlineLevel="0" collapsed="false">
      <c r="A292" s="10" t="s">
        <v>1267</v>
      </c>
      <c r="B292" s="10" t="s">
        <v>395</v>
      </c>
      <c r="C292" s="10" t="s">
        <v>1268</v>
      </c>
      <c r="D292" s="10" t="s">
        <v>300</v>
      </c>
      <c r="E292" s="10" t="s">
        <v>299</v>
      </c>
      <c r="F292" s="10" t="n">
        <v>15</v>
      </c>
      <c r="G292" s="10" t="s">
        <v>1269</v>
      </c>
      <c r="H292" s="10" t="n">
        <v>4</v>
      </c>
      <c r="I292" s="10" t="n">
        <v>2</v>
      </c>
      <c r="J292" s="10" t="n">
        <v>6</v>
      </c>
      <c r="K292" s="10" t="n">
        <v>95</v>
      </c>
      <c r="L292" s="10" t="n">
        <v>100</v>
      </c>
      <c r="M292" s="10" t="n">
        <v>161</v>
      </c>
    </row>
    <row r="293" customFormat="false" ht="15" hidden="false" customHeight="false" outlineLevel="0" collapsed="false">
      <c r="A293" s="10" t="s">
        <v>1270</v>
      </c>
      <c r="B293" s="10" t="s">
        <v>395</v>
      </c>
      <c r="C293" s="10" t="s">
        <v>1271</v>
      </c>
      <c r="D293" s="10" t="s">
        <v>300</v>
      </c>
      <c r="E293" s="10" t="s">
        <v>299</v>
      </c>
      <c r="F293" s="10" t="n">
        <v>13</v>
      </c>
      <c r="G293" s="10" t="s">
        <v>1272</v>
      </c>
      <c r="H293" s="10" t="n">
        <v>4</v>
      </c>
      <c r="I293" s="10" t="n">
        <v>2</v>
      </c>
      <c r="J293" s="10" t="n">
        <v>5</v>
      </c>
      <c r="K293" s="10" t="n">
        <v>94</v>
      </c>
      <c r="L293" s="10" t="n">
        <v>100</v>
      </c>
      <c r="M293" s="10" t="n">
        <v>163</v>
      </c>
    </row>
    <row r="294" customFormat="false" ht="15" hidden="false" customHeight="false" outlineLevel="0" collapsed="false">
      <c r="A294" s="10" t="s">
        <v>1273</v>
      </c>
      <c r="B294" s="10" t="s">
        <v>395</v>
      </c>
      <c r="C294" s="10" t="s">
        <v>1274</v>
      </c>
      <c r="D294" s="10" t="s">
        <v>440</v>
      </c>
      <c r="E294" s="10" t="s">
        <v>203</v>
      </c>
      <c r="F294" s="10" t="n">
        <v>13</v>
      </c>
      <c r="G294" s="10" t="s">
        <v>1275</v>
      </c>
      <c r="H294" s="10" t="n">
        <v>4</v>
      </c>
      <c r="I294" s="10" t="n">
        <v>2</v>
      </c>
      <c r="J294" s="10" t="n">
        <v>5</v>
      </c>
      <c r="K294" s="10" t="n">
        <v>96</v>
      </c>
      <c r="L294" s="10" t="n">
        <v>100</v>
      </c>
      <c r="M294" s="10" t="n">
        <v>179</v>
      </c>
    </row>
    <row r="295" customFormat="false" ht="15" hidden="false" customHeight="false" outlineLevel="0" collapsed="false">
      <c r="A295" s="10" t="s">
        <v>1276</v>
      </c>
      <c r="B295" s="10" t="s">
        <v>395</v>
      </c>
      <c r="C295" s="10" t="s">
        <v>1277</v>
      </c>
      <c r="D295" s="10" t="s">
        <v>405</v>
      </c>
      <c r="E295" s="10" t="s">
        <v>226</v>
      </c>
      <c r="F295" s="10" t="n">
        <v>15</v>
      </c>
      <c r="G295" s="10" t="s">
        <v>1278</v>
      </c>
      <c r="H295" s="10" t="n">
        <v>5</v>
      </c>
      <c r="I295" s="10" t="n">
        <v>2</v>
      </c>
      <c r="J295" s="10" t="n">
        <v>8</v>
      </c>
      <c r="K295" s="10" t="n">
        <v>96</v>
      </c>
      <c r="L295" s="10" t="n">
        <v>100</v>
      </c>
      <c r="M295" s="10" t="n">
        <v>219</v>
      </c>
    </row>
    <row r="296" customFormat="false" ht="15" hidden="false" customHeight="false" outlineLevel="0" collapsed="false">
      <c r="A296" s="10" t="s">
        <v>1279</v>
      </c>
      <c r="B296" s="10" t="s">
        <v>395</v>
      </c>
      <c r="C296" s="10" t="s">
        <v>1280</v>
      </c>
      <c r="D296" s="10" t="s">
        <v>433</v>
      </c>
      <c r="E296" s="10" t="s">
        <v>146</v>
      </c>
      <c r="F296" s="10" t="n">
        <v>12</v>
      </c>
      <c r="G296" s="10" t="s">
        <v>1281</v>
      </c>
      <c r="H296" s="10" t="n">
        <v>4</v>
      </c>
      <c r="I296" s="10" t="n">
        <v>2</v>
      </c>
      <c r="J296" s="10" t="n">
        <v>6</v>
      </c>
      <c r="K296" s="10" t="n">
        <v>93</v>
      </c>
      <c r="L296" s="10" t="n">
        <v>67</v>
      </c>
      <c r="M296" s="10" t="n">
        <v>137</v>
      </c>
    </row>
    <row r="297" customFormat="false" ht="15" hidden="false" customHeight="false" outlineLevel="0" collapsed="false">
      <c r="A297" s="10" t="s">
        <v>1282</v>
      </c>
      <c r="B297" s="10" t="s">
        <v>395</v>
      </c>
      <c r="C297" s="10" t="s">
        <v>1283</v>
      </c>
      <c r="D297" s="10" t="s">
        <v>397</v>
      </c>
      <c r="E297" s="10"/>
      <c r="F297" s="10" t="n">
        <v>15</v>
      </c>
      <c r="G297" s="10" t="s">
        <v>1284</v>
      </c>
      <c r="H297" s="10" t="n">
        <v>4</v>
      </c>
      <c r="I297" s="10" t="n">
        <v>2</v>
      </c>
      <c r="J297" s="10" t="n">
        <v>4</v>
      </c>
      <c r="K297" s="10" t="n">
        <v>94</v>
      </c>
      <c r="L297" s="10" t="n">
        <v>100</v>
      </c>
      <c r="M297" s="10" t="n">
        <v>187</v>
      </c>
    </row>
    <row r="298" customFormat="false" ht="15" hidden="false" customHeight="false" outlineLevel="0" collapsed="false">
      <c r="A298" s="10" t="s">
        <v>1285</v>
      </c>
      <c r="B298" s="10" t="s">
        <v>395</v>
      </c>
      <c r="C298" s="10" t="s">
        <v>1286</v>
      </c>
      <c r="D298" s="10" t="s">
        <v>433</v>
      </c>
      <c r="E298" s="10" t="s">
        <v>216</v>
      </c>
      <c r="F298" s="10" t="n">
        <v>15</v>
      </c>
      <c r="G298" s="10" t="s">
        <v>1287</v>
      </c>
      <c r="H298" s="10" t="n">
        <v>4</v>
      </c>
      <c r="I298" s="10" t="n">
        <v>2</v>
      </c>
      <c r="J298" s="10" t="n">
        <v>5</v>
      </c>
      <c r="K298" s="10" t="n">
        <v>96</v>
      </c>
      <c r="L298" s="10" t="n">
        <v>100</v>
      </c>
      <c r="M298" s="10" t="n">
        <v>171</v>
      </c>
    </row>
    <row r="299" customFormat="false" ht="15" hidden="false" customHeight="false" outlineLevel="0" collapsed="false">
      <c r="A299" s="10" t="s">
        <v>1288</v>
      </c>
      <c r="B299" s="10" t="s">
        <v>395</v>
      </c>
      <c r="C299" s="10" t="s">
        <v>1289</v>
      </c>
      <c r="D299" s="10" t="s">
        <v>417</v>
      </c>
      <c r="E299" s="10" t="s">
        <v>1290</v>
      </c>
      <c r="F299" s="10" t="n">
        <v>10</v>
      </c>
      <c r="G299" s="10" t="s">
        <v>755</v>
      </c>
      <c r="H299" s="10" t="n">
        <v>4</v>
      </c>
      <c r="I299" s="10" t="n">
        <v>0</v>
      </c>
      <c r="J299" s="10" t="n">
        <v>3</v>
      </c>
      <c r="K299" s="10" t="n">
        <v>73</v>
      </c>
      <c r="L299" s="10" t="n">
        <v>67</v>
      </c>
      <c r="M299" s="10" t="n">
        <v>0</v>
      </c>
    </row>
    <row r="300" customFormat="false" ht="15" hidden="false" customHeight="false" outlineLevel="0" collapsed="false">
      <c r="A300" s="10" t="s">
        <v>1291</v>
      </c>
      <c r="B300" s="10" t="s">
        <v>395</v>
      </c>
      <c r="C300" s="10" t="s">
        <v>1292</v>
      </c>
      <c r="D300" s="10" t="s">
        <v>433</v>
      </c>
      <c r="E300" s="10" t="s">
        <v>216</v>
      </c>
      <c r="F300" s="10" t="n">
        <v>14</v>
      </c>
      <c r="G300" s="10" t="s">
        <v>1293</v>
      </c>
      <c r="H300" s="10" t="n">
        <v>4</v>
      </c>
      <c r="I300" s="10" t="n">
        <v>2</v>
      </c>
      <c r="J300" s="10" t="n">
        <v>6</v>
      </c>
      <c r="K300" s="10" t="n">
        <v>98</v>
      </c>
      <c r="L300" s="10" t="n">
        <v>100</v>
      </c>
      <c r="M300" s="10" t="n">
        <v>189</v>
      </c>
    </row>
    <row r="301" customFormat="false" ht="15" hidden="false" customHeight="false" outlineLevel="0" collapsed="false">
      <c r="A301" s="10" t="s">
        <v>1294</v>
      </c>
      <c r="B301" s="10" t="s">
        <v>395</v>
      </c>
      <c r="C301" s="10" t="s">
        <v>1295</v>
      </c>
      <c r="D301" s="10" t="s">
        <v>433</v>
      </c>
      <c r="E301" s="10" t="s">
        <v>216</v>
      </c>
      <c r="F301" s="10" t="n">
        <v>13</v>
      </c>
      <c r="G301" s="10" t="s">
        <v>1296</v>
      </c>
      <c r="H301" s="10" t="n">
        <v>4</v>
      </c>
      <c r="I301" s="10" t="n">
        <v>2</v>
      </c>
      <c r="J301" s="10" t="n">
        <v>7</v>
      </c>
      <c r="K301" s="10" t="n">
        <v>98</v>
      </c>
      <c r="L301" s="10" t="n">
        <v>100</v>
      </c>
      <c r="M301" s="10" t="n">
        <v>179</v>
      </c>
    </row>
    <row r="302" customFormat="false" ht="15" hidden="false" customHeight="false" outlineLevel="0" collapsed="false">
      <c r="A302" s="10" t="s">
        <v>1297</v>
      </c>
      <c r="B302" s="10" t="s">
        <v>395</v>
      </c>
      <c r="C302" s="10" t="s">
        <v>1298</v>
      </c>
      <c r="D302" s="10" t="s">
        <v>433</v>
      </c>
      <c r="E302" s="10" t="s">
        <v>216</v>
      </c>
      <c r="F302" s="10" t="n">
        <v>14</v>
      </c>
      <c r="G302" s="10" t="s">
        <v>1299</v>
      </c>
      <c r="H302" s="10" t="n">
        <v>4</v>
      </c>
      <c r="I302" s="10" t="n">
        <v>2</v>
      </c>
      <c r="J302" s="10" t="n">
        <v>6</v>
      </c>
      <c r="K302" s="10" t="n">
        <v>98</v>
      </c>
      <c r="L302" s="10" t="n">
        <v>100</v>
      </c>
      <c r="M302" s="10" t="n">
        <v>182</v>
      </c>
    </row>
    <row r="303" customFormat="false" ht="15" hidden="false" customHeight="false" outlineLevel="0" collapsed="false">
      <c r="A303" s="10" t="s">
        <v>1300</v>
      </c>
      <c r="B303" s="10" t="s">
        <v>395</v>
      </c>
      <c r="C303" s="10" t="s">
        <v>1301</v>
      </c>
      <c r="D303" s="10" t="s">
        <v>405</v>
      </c>
      <c r="E303" s="10" t="s">
        <v>96</v>
      </c>
      <c r="F303" s="10" t="n">
        <v>14</v>
      </c>
      <c r="G303" s="10" t="s">
        <v>1302</v>
      </c>
      <c r="H303" s="10" t="n">
        <v>4</v>
      </c>
      <c r="I303" s="10" t="n">
        <v>2</v>
      </c>
      <c r="J303" s="10" t="n">
        <v>5</v>
      </c>
      <c r="K303" s="10" t="n">
        <v>97</v>
      </c>
      <c r="L303" s="10" t="n">
        <v>100</v>
      </c>
      <c r="M303" s="10" t="n">
        <v>267</v>
      </c>
    </row>
    <row r="304" customFormat="false" ht="15" hidden="false" customHeight="false" outlineLevel="0" collapsed="false">
      <c r="A304" s="10" t="s">
        <v>1303</v>
      </c>
      <c r="B304" s="10" t="s">
        <v>395</v>
      </c>
      <c r="C304" s="10" t="s">
        <v>1304</v>
      </c>
      <c r="D304" s="10" t="s">
        <v>417</v>
      </c>
      <c r="E304" s="10" t="s">
        <v>96</v>
      </c>
      <c r="F304" s="10" t="n">
        <v>15</v>
      </c>
      <c r="G304" s="10" t="s">
        <v>1305</v>
      </c>
      <c r="H304" s="10" t="n">
        <v>4</v>
      </c>
      <c r="I304" s="10" t="n">
        <v>2</v>
      </c>
      <c r="J304" s="10" t="n">
        <v>5</v>
      </c>
      <c r="K304" s="10" t="n">
        <v>96</v>
      </c>
      <c r="L304" s="10" t="n">
        <v>100</v>
      </c>
      <c r="M304" s="10" t="n">
        <v>236</v>
      </c>
    </row>
    <row r="305" customFormat="false" ht="15" hidden="false" customHeight="false" outlineLevel="0" collapsed="false">
      <c r="A305" s="10" t="s">
        <v>1306</v>
      </c>
      <c r="B305" s="10" t="s">
        <v>395</v>
      </c>
      <c r="C305" s="10" t="s">
        <v>1307</v>
      </c>
      <c r="D305" s="10" t="s">
        <v>417</v>
      </c>
      <c r="E305" s="10" t="s">
        <v>96</v>
      </c>
      <c r="F305" s="10" t="n">
        <v>15</v>
      </c>
      <c r="G305" s="10" t="s">
        <v>1308</v>
      </c>
      <c r="H305" s="10" t="n">
        <v>4</v>
      </c>
      <c r="I305" s="10" t="n">
        <v>2</v>
      </c>
      <c r="J305" s="10" t="n">
        <v>5</v>
      </c>
      <c r="K305" s="10" t="n">
        <v>96</v>
      </c>
      <c r="L305" s="10" t="n">
        <v>100</v>
      </c>
      <c r="M305" s="10" t="n">
        <v>192</v>
      </c>
    </row>
    <row r="306" customFormat="false" ht="15" hidden="false" customHeight="false" outlineLevel="0" collapsed="false">
      <c r="A306" s="10" t="s">
        <v>1309</v>
      </c>
      <c r="B306" s="10" t="s">
        <v>395</v>
      </c>
      <c r="C306" s="10" t="s">
        <v>1310</v>
      </c>
      <c r="D306" s="10" t="s">
        <v>450</v>
      </c>
      <c r="E306" s="10" t="s">
        <v>291</v>
      </c>
      <c r="F306" s="10" t="n">
        <v>14</v>
      </c>
      <c r="G306" s="10" t="s">
        <v>1311</v>
      </c>
      <c r="H306" s="10" t="n">
        <v>4</v>
      </c>
      <c r="I306" s="10" t="n">
        <v>2</v>
      </c>
      <c r="J306" s="10" t="n">
        <v>7</v>
      </c>
      <c r="K306" s="10" t="n">
        <v>97</v>
      </c>
      <c r="L306" s="10" t="n">
        <v>100</v>
      </c>
      <c r="M306" s="10" t="n">
        <v>152</v>
      </c>
    </row>
    <row r="307" customFormat="false" ht="15" hidden="false" customHeight="false" outlineLevel="0" collapsed="false">
      <c r="A307" s="10" t="s">
        <v>1312</v>
      </c>
      <c r="B307" s="10" t="s">
        <v>395</v>
      </c>
      <c r="C307" s="10" t="s">
        <v>1313</v>
      </c>
      <c r="D307" s="10" t="s">
        <v>450</v>
      </c>
      <c r="E307" s="10" t="s">
        <v>291</v>
      </c>
      <c r="F307" s="10" t="n">
        <v>14</v>
      </c>
      <c r="G307" s="10" t="s">
        <v>1314</v>
      </c>
      <c r="H307" s="10" t="n">
        <v>4</v>
      </c>
      <c r="I307" s="10" t="n">
        <v>2</v>
      </c>
      <c r="J307" s="10" t="n">
        <v>5</v>
      </c>
      <c r="K307" s="10" t="n">
        <v>96</v>
      </c>
      <c r="L307" s="10" t="n">
        <v>100</v>
      </c>
      <c r="M307" s="10" t="n">
        <v>154</v>
      </c>
    </row>
    <row r="308" customFormat="false" ht="15" hidden="false" customHeight="false" outlineLevel="0" collapsed="false">
      <c r="A308" s="10" t="s">
        <v>1315</v>
      </c>
      <c r="B308" s="10" t="s">
        <v>395</v>
      </c>
      <c r="C308" s="10" t="s">
        <v>1316</v>
      </c>
      <c r="D308" s="10" t="s">
        <v>450</v>
      </c>
      <c r="E308" s="10" t="s">
        <v>291</v>
      </c>
      <c r="F308" s="10" t="n">
        <v>14</v>
      </c>
      <c r="G308" s="10" t="s">
        <v>1314</v>
      </c>
      <c r="H308" s="10" t="n">
        <v>4</v>
      </c>
      <c r="I308" s="10" t="n">
        <v>2</v>
      </c>
      <c r="J308" s="10" t="n">
        <v>6</v>
      </c>
      <c r="K308" s="10" t="n">
        <v>97</v>
      </c>
      <c r="L308" s="10" t="n">
        <v>100</v>
      </c>
      <c r="M308" s="10" t="n">
        <v>172</v>
      </c>
    </row>
    <row r="309" customFormat="false" ht="15" hidden="false" customHeight="false" outlineLevel="0" collapsed="false">
      <c r="A309" s="10" t="s">
        <v>1317</v>
      </c>
      <c r="B309" s="10" t="s">
        <v>395</v>
      </c>
      <c r="C309" s="10" t="s">
        <v>1318</v>
      </c>
      <c r="D309" s="10" t="s">
        <v>450</v>
      </c>
      <c r="E309" s="10" t="s">
        <v>291</v>
      </c>
      <c r="F309" s="10" t="n">
        <v>15</v>
      </c>
      <c r="G309" s="10" t="s">
        <v>1319</v>
      </c>
      <c r="H309" s="10" t="n">
        <v>4</v>
      </c>
      <c r="I309" s="10" t="n">
        <v>2</v>
      </c>
      <c r="J309" s="10" t="n">
        <v>5</v>
      </c>
      <c r="K309" s="10" t="n">
        <v>97</v>
      </c>
      <c r="L309" s="10" t="n">
        <v>100</v>
      </c>
      <c r="M309" s="10" t="n">
        <v>190</v>
      </c>
    </row>
    <row r="310" customFormat="false" ht="15" hidden="false" customHeight="false" outlineLevel="0" collapsed="false">
      <c r="A310" s="10" t="s">
        <v>1320</v>
      </c>
      <c r="B310" s="10" t="s">
        <v>395</v>
      </c>
      <c r="C310" s="10" t="s">
        <v>1321</v>
      </c>
      <c r="D310" s="10" t="s">
        <v>450</v>
      </c>
      <c r="E310" s="10" t="s">
        <v>291</v>
      </c>
      <c r="F310" s="10" t="n">
        <v>13</v>
      </c>
      <c r="G310" s="10" t="s">
        <v>1314</v>
      </c>
      <c r="H310" s="10" t="n">
        <v>4</v>
      </c>
      <c r="I310" s="10" t="n">
        <v>2</v>
      </c>
      <c r="J310" s="10" t="n">
        <v>5</v>
      </c>
      <c r="K310" s="10" t="n">
        <v>95</v>
      </c>
      <c r="L310" s="10" t="n">
        <v>100</v>
      </c>
      <c r="M310" s="10" t="n">
        <v>190</v>
      </c>
    </row>
    <row r="311" customFormat="false" ht="15" hidden="false" customHeight="false" outlineLevel="0" collapsed="false">
      <c r="A311" s="10" t="s">
        <v>1322</v>
      </c>
      <c r="B311" s="10" t="s">
        <v>395</v>
      </c>
      <c r="C311" s="10" t="s">
        <v>1323</v>
      </c>
      <c r="D311" s="10" t="s">
        <v>450</v>
      </c>
      <c r="E311" s="10" t="s">
        <v>291</v>
      </c>
      <c r="F311" s="10" t="n">
        <v>14</v>
      </c>
      <c r="G311" s="10" t="s">
        <v>1324</v>
      </c>
      <c r="H311" s="10" t="n">
        <v>4</v>
      </c>
      <c r="I311" s="10" t="n">
        <v>2</v>
      </c>
      <c r="J311" s="10" t="n">
        <v>5</v>
      </c>
      <c r="K311" s="10" t="n">
        <v>97</v>
      </c>
      <c r="L311" s="10" t="n">
        <v>100</v>
      </c>
      <c r="M311" s="10" t="n">
        <v>173</v>
      </c>
    </row>
    <row r="312" customFormat="false" ht="15" hidden="false" customHeight="false" outlineLevel="0" collapsed="false">
      <c r="A312" s="10" t="s">
        <v>1325</v>
      </c>
      <c r="B312" s="10" t="s">
        <v>395</v>
      </c>
      <c r="C312" s="10" t="s">
        <v>1326</v>
      </c>
      <c r="D312" s="10" t="s">
        <v>450</v>
      </c>
      <c r="E312" s="10" t="s">
        <v>291</v>
      </c>
      <c r="F312" s="10" t="n">
        <v>15</v>
      </c>
      <c r="G312" s="10" t="s">
        <v>1327</v>
      </c>
      <c r="H312" s="10" t="n">
        <v>4</v>
      </c>
      <c r="I312" s="10" t="n">
        <v>2</v>
      </c>
      <c r="J312" s="10" t="n">
        <v>7</v>
      </c>
      <c r="K312" s="10" t="n">
        <v>97</v>
      </c>
      <c r="L312" s="10" t="n">
        <v>100</v>
      </c>
      <c r="M312" s="10" t="n">
        <v>167</v>
      </c>
    </row>
    <row r="313" customFormat="false" ht="15" hidden="false" customHeight="false" outlineLevel="0" collapsed="false">
      <c r="A313" s="10" t="s">
        <v>1328</v>
      </c>
      <c r="B313" s="10" t="s">
        <v>395</v>
      </c>
      <c r="C313" s="10" t="s">
        <v>1329</v>
      </c>
      <c r="D313" s="10" t="s">
        <v>450</v>
      </c>
      <c r="E313" s="10" t="s">
        <v>291</v>
      </c>
      <c r="F313" s="10" t="n">
        <v>14</v>
      </c>
      <c r="G313" s="10" t="s">
        <v>1330</v>
      </c>
      <c r="H313" s="10" t="n">
        <v>4</v>
      </c>
      <c r="I313" s="10" t="n">
        <v>2</v>
      </c>
      <c r="J313" s="10" t="n">
        <v>7</v>
      </c>
      <c r="K313" s="10" t="n">
        <v>97</v>
      </c>
      <c r="L313" s="10" t="n">
        <v>100</v>
      </c>
      <c r="M313" s="10" t="n">
        <v>162</v>
      </c>
    </row>
    <row r="314" customFormat="false" ht="15" hidden="false" customHeight="false" outlineLevel="0" collapsed="false">
      <c r="A314" s="10" t="s">
        <v>1331</v>
      </c>
      <c r="B314" s="10" t="s">
        <v>395</v>
      </c>
      <c r="C314" s="10" t="s">
        <v>1332</v>
      </c>
      <c r="D314" s="10" t="s">
        <v>433</v>
      </c>
      <c r="E314" s="10" t="s">
        <v>191</v>
      </c>
      <c r="F314" s="10" t="n">
        <v>13</v>
      </c>
      <c r="G314" s="10" t="s">
        <v>1333</v>
      </c>
      <c r="H314" s="10" t="n">
        <v>4</v>
      </c>
      <c r="I314" s="10" t="n">
        <v>2</v>
      </c>
      <c r="J314" s="10" t="n">
        <v>7</v>
      </c>
      <c r="K314" s="10" t="n">
        <v>93</v>
      </c>
      <c r="L314" s="10" t="n">
        <v>71</v>
      </c>
      <c r="M314" s="10" t="n">
        <v>192</v>
      </c>
    </row>
    <row r="315" customFormat="false" ht="15" hidden="false" customHeight="false" outlineLevel="0" collapsed="false">
      <c r="A315" s="10" t="s">
        <v>1334</v>
      </c>
      <c r="B315" s="10" t="s">
        <v>395</v>
      </c>
      <c r="C315" s="10" t="s">
        <v>1335</v>
      </c>
      <c r="D315" s="10" t="s">
        <v>433</v>
      </c>
      <c r="E315" s="10" t="s">
        <v>191</v>
      </c>
      <c r="F315" s="10" t="n">
        <v>14</v>
      </c>
      <c r="G315" s="10" t="s">
        <v>1336</v>
      </c>
      <c r="H315" s="10" t="n">
        <v>4</v>
      </c>
      <c r="I315" s="10" t="n">
        <v>2</v>
      </c>
      <c r="J315" s="10" t="n">
        <v>5</v>
      </c>
      <c r="K315" s="10" t="n">
        <v>94</v>
      </c>
      <c r="L315" s="10" t="n">
        <v>100</v>
      </c>
      <c r="M315" s="10" t="n">
        <v>160</v>
      </c>
    </row>
    <row r="316" customFormat="false" ht="15" hidden="false" customHeight="false" outlineLevel="0" collapsed="false">
      <c r="A316" s="10" t="s">
        <v>1337</v>
      </c>
      <c r="B316" s="10" t="s">
        <v>395</v>
      </c>
      <c r="C316" s="10" t="s">
        <v>1338</v>
      </c>
      <c r="D316" s="10" t="s">
        <v>413</v>
      </c>
      <c r="E316" s="10" t="s">
        <v>158</v>
      </c>
      <c r="F316" s="10" t="n">
        <v>14</v>
      </c>
      <c r="G316" s="10" t="s">
        <v>819</v>
      </c>
      <c r="H316" s="10" t="n">
        <v>4</v>
      </c>
      <c r="I316" s="10" t="n">
        <v>2</v>
      </c>
      <c r="J316" s="10" t="n">
        <v>8</v>
      </c>
      <c r="K316" s="10" t="n">
        <v>98</v>
      </c>
      <c r="L316" s="10" t="n">
        <v>100</v>
      </c>
      <c r="M316" s="10" t="n">
        <v>244</v>
      </c>
    </row>
    <row r="317" customFormat="false" ht="15" hidden="false" customHeight="false" outlineLevel="0" collapsed="false">
      <c r="A317" s="10" t="s">
        <v>1339</v>
      </c>
      <c r="B317" s="10" t="s">
        <v>395</v>
      </c>
      <c r="C317" s="10" t="s">
        <v>1340</v>
      </c>
      <c r="D317" s="10" t="s">
        <v>440</v>
      </c>
      <c r="E317" s="10" t="s">
        <v>203</v>
      </c>
      <c r="F317" s="10" t="n">
        <v>12</v>
      </c>
      <c r="G317" s="10" t="s">
        <v>1341</v>
      </c>
      <c r="H317" s="10" t="n">
        <v>4</v>
      </c>
      <c r="I317" s="10" t="n">
        <v>2</v>
      </c>
      <c r="J317" s="10" t="n">
        <v>6</v>
      </c>
      <c r="K317" s="10" t="n">
        <v>92</v>
      </c>
      <c r="L317" s="10" t="n">
        <v>58</v>
      </c>
      <c r="M317" s="10" t="n">
        <v>161</v>
      </c>
    </row>
    <row r="318" customFormat="false" ht="15" hidden="false" customHeight="false" outlineLevel="0" collapsed="false">
      <c r="A318" s="10" t="s">
        <v>1342</v>
      </c>
      <c r="B318" s="10" t="s">
        <v>395</v>
      </c>
      <c r="C318" s="10" t="s">
        <v>1343</v>
      </c>
      <c r="D318" s="10" t="s">
        <v>413</v>
      </c>
      <c r="E318" s="10" t="s">
        <v>158</v>
      </c>
      <c r="F318" s="10" t="n">
        <v>14</v>
      </c>
      <c r="G318" s="10" t="s">
        <v>1344</v>
      </c>
      <c r="H318" s="10" t="n">
        <v>4</v>
      </c>
      <c r="I318" s="10" t="n">
        <v>2</v>
      </c>
      <c r="J318" s="10" t="n">
        <v>8</v>
      </c>
      <c r="K318" s="10" t="n">
        <v>94</v>
      </c>
      <c r="L318" s="10" t="n">
        <v>75</v>
      </c>
      <c r="M318" s="10" t="n">
        <v>241</v>
      </c>
    </row>
    <row r="319" customFormat="false" ht="15" hidden="false" customHeight="false" outlineLevel="0" collapsed="false">
      <c r="A319" s="10" t="s">
        <v>1345</v>
      </c>
      <c r="B319" s="10" t="s">
        <v>395</v>
      </c>
      <c r="C319" s="10" t="s">
        <v>1346</v>
      </c>
      <c r="D319" s="10" t="s">
        <v>413</v>
      </c>
      <c r="E319" s="10" t="s">
        <v>152</v>
      </c>
      <c r="F319" s="10" t="n">
        <v>14</v>
      </c>
      <c r="G319" s="10" t="s">
        <v>1347</v>
      </c>
      <c r="H319" s="10" t="n">
        <v>4</v>
      </c>
      <c r="I319" s="10" t="n">
        <v>2</v>
      </c>
      <c r="J319" s="10" t="n">
        <v>5</v>
      </c>
      <c r="K319" s="10" t="n">
        <v>95</v>
      </c>
      <c r="L319" s="10" t="n">
        <v>100</v>
      </c>
      <c r="M319" s="10" t="n">
        <v>169</v>
      </c>
    </row>
    <row r="320" customFormat="false" ht="15" hidden="false" customHeight="false" outlineLevel="0" collapsed="false">
      <c r="A320" s="10" t="s">
        <v>1348</v>
      </c>
      <c r="B320" s="10" t="s">
        <v>395</v>
      </c>
      <c r="C320" s="10" t="s">
        <v>1349</v>
      </c>
      <c r="D320" s="10" t="s">
        <v>397</v>
      </c>
      <c r="E320" s="10" t="s">
        <v>139</v>
      </c>
      <c r="F320" s="10" t="n">
        <v>14</v>
      </c>
      <c r="G320" s="10" t="s">
        <v>1350</v>
      </c>
      <c r="H320" s="10" t="n">
        <v>4</v>
      </c>
      <c r="I320" s="10" t="n">
        <v>2</v>
      </c>
      <c r="J320" s="10" t="n">
        <v>1</v>
      </c>
      <c r="K320" s="10" t="n">
        <v>95</v>
      </c>
      <c r="L320" s="10" t="n">
        <v>100</v>
      </c>
      <c r="M320" s="10" t="n">
        <v>191</v>
      </c>
    </row>
    <row r="321" customFormat="false" ht="15" hidden="false" customHeight="false" outlineLevel="0" collapsed="false">
      <c r="A321" s="10" t="s">
        <v>1351</v>
      </c>
      <c r="B321" s="10" t="s">
        <v>395</v>
      </c>
      <c r="C321" s="10" t="s">
        <v>1352</v>
      </c>
      <c r="D321" s="10" t="s">
        <v>433</v>
      </c>
      <c r="E321" s="10" t="s">
        <v>191</v>
      </c>
      <c r="F321" s="10" t="n">
        <v>12</v>
      </c>
      <c r="G321" s="10" t="s">
        <v>1353</v>
      </c>
      <c r="H321" s="10" t="n">
        <v>4</v>
      </c>
      <c r="I321" s="10" t="n">
        <v>2</v>
      </c>
      <c r="J321" s="10" t="n">
        <v>8</v>
      </c>
      <c r="K321" s="10" t="n">
        <v>94</v>
      </c>
      <c r="L321" s="10" t="n">
        <v>88</v>
      </c>
      <c r="M321" s="10" t="n">
        <v>154</v>
      </c>
    </row>
    <row r="322" customFormat="false" ht="15" hidden="false" customHeight="false" outlineLevel="0" collapsed="false">
      <c r="A322" s="10" t="s">
        <v>1354</v>
      </c>
      <c r="B322" s="10" t="s">
        <v>395</v>
      </c>
      <c r="C322" s="10" t="s">
        <v>1355</v>
      </c>
      <c r="D322" s="10" t="s">
        <v>401</v>
      </c>
      <c r="E322" s="10" t="s">
        <v>454</v>
      </c>
      <c r="F322" s="10" t="n">
        <v>12</v>
      </c>
      <c r="G322" s="10" t="s">
        <v>1356</v>
      </c>
      <c r="H322" s="10" t="n">
        <v>4</v>
      </c>
      <c r="I322" s="10" t="n">
        <v>2</v>
      </c>
      <c r="J322" s="10" t="n">
        <v>11</v>
      </c>
      <c r="K322" s="10" t="n">
        <v>98</v>
      </c>
      <c r="L322" s="10" t="n">
        <v>100</v>
      </c>
      <c r="M322" s="10" t="n">
        <v>231</v>
      </c>
    </row>
    <row r="323" customFormat="false" ht="15" hidden="false" customHeight="false" outlineLevel="0" collapsed="false">
      <c r="A323" s="10" t="s">
        <v>1357</v>
      </c>
      <c r="B323" s="10" t="s">
        <v>395</v>
      </c>
      <c r="C323" s="10" t="s">
        <v>1358</v>
      </c>
      <c r="D323" s="10" t="s">
        <v>433</v>
      </c>
      <c r="E323" s="10" t="s">
        <v>191</v>
      </c>
      <c r="F323" s="10" t="n">
        <v>12</v>
      </c>
      <c r="G323" s="10" t="s">
        <v>1359</v>
      </c>
      <c r="H323" s="10" t="n">
        <v>4</v>
      </c>
      <c r="I323" s="10" t="n">
        <v>2</v>
      </c>
      <c r="J323" s="10" t="n">
        <v>6</v>
      </c>
      <c r="K323" s="10" t="n">
        <v>92</v>
      </c>
      <c r="L323" s="10" t="n">
        <v>50</v>
      </c>
      <c r="M323" s="10" t="n">
        <v>202</v>
      </c>
    </row>
    <row r="324" customFormat="false" ht="15" hidden="false" customHeight="false" outlineLevel="0" collapsed="false">
      <c r="A324" s="10" t="s">
        <v>1360</v>
      </c>
      <c r="B324" s="10" t="s">
        <v>395</v>
      </c>
      <c r="C324" s="10" t="s">
        <v>1361</v>
      </c>
      <c r="D324" s="10" t="s">
        <v>433</v>
      </c>
      <c r="E324" s="10" t="s">
        <v>146</v>
      </c>
      <c r="F324" s="10" t="n">
        <v>13</v>
      </c>
      <c r="G324" s="10" t="s">
        <v>1362</v>
      </c>
      <c r="H324" s="10" t="n">
        <v>4</v>
      </c>
      <c r="I324" s="10" t="n">
        <v>2</v>
      </c>
      <c r="J324" s="10" t="n">
        <v>5</v>
      </c>
      <c r="K324" s="10" t="n">
        <v>95</v>
      </c>
      <c r="L324" s="10" t="n">
        <v>80</v>
      </c>
      <c r="M324" s="10" t="n">
        <v>153</v>
      </c>
    </row>
    <row r="325" customFormat="false" ht="15" hidden="false" customHeight="false" outlineLevel="0" collapsed="false">
      <c r="A325" s="10" t="s">
        <v>1363</v>
      </c>
      <c r="B325" s="10" t="s">
        <v>395</v>
      </c>
      <c r="C325" s="10" t="s">
        <v>1364</v>
      </c>
      <c r="D325" s="10" t="s">
        <v>433</v>
      </c>
      <c r="E325" s="10" t="s">
        <v>146</v>
      </c>
      <c r="F325" s="10" t="n">
        <v>13</v>
      </c>
      <c r="G325" s="10" t="s">
        <v>1365</v>
      </c>
      <c r="H325" s="10" t="n">
        <v>4</v>
      </c>
      <c r="I325" s="10" t="n">
        <v>2</v>
      </c>
      <c r="J325" s="10" t="n">
        <v>8</v>
      </c>
      <c r="K325" s="10" t="n">
        <v>95</v>
      </c>
      <c r="L325" s="10" t="n">
        <v>88</v>
      </c>
      <c r="M325" s="10" t="n">
        <v>159</v>
      </c>
    </row>
    <row r="326" customFormat="false" ht="15" hidden="false" customHeight="false" outlineLevel="0" collapsed="false">
      <c r="A326" s="10" t="s">
        <v>1366</v>
      </c>
      <c r="B326" s="10" t="s">
        <v>395</v>
      </c>
      <c r="C326" s="10" t="s">
        <v>1367</v>
      </c>
      <c r="D326" s="10" t="s">
        <v>417</v>
      </c>
      <c r="E326" s="10" t="s">
        <v>247</v>
      </c>
      <c r="F326" s="10" t="n">
        <v>13</v>
      </c>
      <c r="G326" s="10" t="s">
        <v>1368</v>
      </c>
      <c r="H326" s="10" t="n">
        <v>4</v>
      </c>
      <c r="I326" s="10" t="n">
        <v>2</v>
      </c>
      <c r="J326" s="10" t="n">
        <v>6</v>
      </c>
      <c r="K326" s="10" t="n">
        <v>92</v>
      </c>
      <c r="L326" s="10" t="n">
        <v>100</v>
      </c>
      <c r="M326" s="10" t="n">
        <v>170</v>
      </c>
    </row>
    <row r="327" customFormat="false" ht="15" hidden="false" customHeight="false" outlineLevel="0" collapsed="false">
      <c r="A327" s="10" t="s">
        <v>1369</v>
      </c>
      <c r="B327" s="10" t="s">
        <v>395</v>
      </c>
      <c r="C327" s="10" t="s">
        <v>1370</v>
      </c>
      <c r="D327" s="10" t="s">
        <v>433</v>
      </c>
      <c r="E327" s="10" t="s">
        <v>191</v>
      </c>
      <c r="F327" s="10" t="n">
        <v>14</v>
      </c>
      <c r="G327" s="10" t="s">
        <v>1371</v>
      </c>
      <c r="H327" s="10" t="n">
        <v>4</v>
      </c>
      <c r="I327" s="10" t="n">
        <v>2</v>
      </c>
      <c r="J327" s="10" t="n">
        <v>5</v>
      </c>
      <c r="K327" s="10" t="n">
        <v>96</v>
      </c>
      <c r="L327" s="10" t="n">
        <v>100</v>
      </c>
      <c r="M327" s="10" t="n">
        <v>169</v>
      </c>
    </row>
    <row r="328" customFormat="false" ht="15" hidden="false" customHeight="false" outlineLevel="0" collapsed="false">
      <c r="A328" s="10" t="s">
        <v>1372</v>
      </c>
      <c r="B328" s="10" t="s">
        <v>395</v>
      </c>
      <c r="C328" s="10" t="s">
        <v>1373</v>
      </c>
      <c r="D328" s="10" t="s">
        <v>433</v>
      </c>
      <c r="E328" s="10" t="s">
        <v>216</v>
      </c>
      <c r="F328" s="10" t="n">
        <v>13</v>
      </c>
      <c r="G328" s="10" t="s">
        <v>696</v>
      </c>
      <c r="H328" s="10" t="n">
        <v>4</v>
      </c>
      <c r="I328" s="10" t="n">
        <v>2</v>
      </c>
      <c r="J328" s="10" t="n">
        <v>6</v>
      </c>
      <c r="K328" s="10" t="n">
        <v>96</v>
      </c>
      <c r="L328" s="10" t="n">
        <v>100</v>
      </c>
      <c r="M328" s="10" t="n">
        <v>162</v>
      </c>
    </row>
    <row r="329" customFormat="false" ht="15" hidden="false" customHeight="false" outlineLevel="0" collapsed="false">
      <c r="A329" s="10" t="s">
        <v>1374</v>
      </c>
      <c r="B329" s="10" t="s">
        <v>395</v>
      </c>
      <c r="C329" s="10" t="s">
        <v>1375</v>
      </c>
      <c r="D329" s="10" t="s">
        <v>465</v>
      </c>
      <c r="E329" s="10" t="s">
        <v>133</v>
      </c>
      <c r="F329" s="10" t="n">
        <v>13</v>
      </c>
      <c r="G329" s="10" t="s">
        <v>1376</v>
      </c>
      <c r="H329" s="10" t="n">
        <v>4</v>
      </c>
      <c r="I329" s="10" t="n">
        <v>2</v>
      </c>
      <c r="J329" s="10" t="n">
        <v>5</v>
      </c>
      <c r="K329" s="10" t="n">
        <v>97</v>
      </c>
      <c r="L329" s="10" t="n">
        <v>100</v>
      </c>
      <c r="M329" s="10" t="n">
        <v>271</v>
      </c>
    </row>
    <row r="330" customFormat="false" ht="15" hidden="false" customHeight="false" outlineLevel="0" collapsed="false">
      <c r="A330" s="10" t="s">
        <v>1377</v>
      </c>
      <c r="B330" s="10" t="s">
        <v>395</v>
      </c>
      <c r="C330" s="10" t="s">
        <v>1378</v>
      </c>
      <c r="D330" s="10" t="s">
        <v>465</v>
      </c>
      <c r="E330" s="10" t="s">
        <v>133</v>
      </c>
      <c r="F330" s="10" t="n">
        <v>12</v>
      </c>
      <c r="G330" s="10" t="s">
        <v>1379</v>
      </c>
      <c r="H330" s="10" t="n">
        <v>4</v>
      </c>
      <c r="I330" s="10" t="n">
        <v>2</v>
      </c>
      <c r="J330" s="10" t="n">
        <v>6</v>
      </c>
      <c r="K330" s="10" t="n">
        <v>97</v>
      </c>
      <c r="L330" s="10" t="n">
        <v>100</v>
      </c>
      <c r="M330" s="10" t="n">
        <v>235</v>
      </c>
    </row>
    <row r="331" customFormat="false" ht="15" hidden="false" customHeight="false" outlineLevel="0" collapsed="false">
      <c r="A331" s="10" t="s">
        <v>1380</v>
      </c>
      <c r="B331" s="10" t="s">
        <v>395</v>
      </c>
      <c r="C331" s="10" t="s">
        <v>1381</v>
      </c>
      <c r="D331" s="10" t="s">
        <v>683</v>
      </c>
      <c r="E331" s="10" t="s">
        <v>90</v>
      </c>
      <c r="F331" s="10" t="n">
        <v>15</v>
      </c>
      <c r="G331" s="10" t="s">
        <v>1382</v>
      </c>
      <c r="H331" s="10" t="n">
        <v>4</v>
      </c>
      <c r="I331" s="10" t="n">
        <v>2</v>
      </c>
      <c r="J331" s="10" t="n">
        <v>6</v>
      </c>
      <c r="K331" s="10" t="n">
        <v>97</v>
      </c>
      <c r="L331" s="10" t="n">
        <v>100</v>
      </c>
      <c r="M331" s="10" t="n">
        <v>210</v>
      </c>
    </row>
    <row r="332" customFormat="false" ht="15" hidden="false" customHeight="false" outlineLevel="0" collapsed="false">
      <c r="A332" s="10" t="s">
        <v>1383</v>
      </c>
      <c r="B332" s="10" t="s">
        <v>395</v>
      </c>
      <c r="C332" s="10" t="s">
        <v>1384</v>
      </c>
      <c r="D332" s="10" t="s">
        <v>397</v>
      </c>
      <c r="E332" s="10" t="s">
        <v>83</v>
      </c>
      <c r="F332" s="10" t="n">
        <v>10</v>
      </c>
      <c r="G332" s="10" t="s">
        <v>1385</v>
      </c>
      <c r="H332" s="10" t="n">
        <v>4</v>
      </c>
      <c r="I332" s="10" t="n">
        <v>2</v>
      </c>
      <c r="J332" s="10" t="n">
        <v>4</v>
      </c>
      <c r="K332" s="10" t="n">
        <v>97</v>
      </c>
      <c r="L332" s="10" t="n">
        <v>100</v>
      </c>
      <c r="M332" s="10" t="n">
        <v>155</v>
      </c>
    </row>
    <row r="333" customFormat="false" ht="15" hidden="false" customHeight="false" outlineLevel="0" collapsed="false">
      <c r="A333" s="10" t="s">
        <v>1386</v>
      </c>
      <c r="B333" s="10" t="s">
        <v>395</v>
      </c>
      <c r="C333" s="10" t="s">
        <v>1387</v>
      </c>
      <c r="D333" s="10" t="s">
        <v>461</v>
      </c>
      <c r="E333" s="10" t="s">
        <v>77</v>
      </c>
      <c r="F333" s="10" t="n">
        <v>16</v>
      </c>
      <c r="G333" s="10" t="s">
        <v>1388</v>
      </c>
      <c r="H333" s="10" t="n">
        <v>4</v>
      </c>
      <c r="I333" s="10" t="n">
        <v>2</v>
      </c>
      <c r="J333" s="10" t="n">
        <v>3</v>
      </c>
      <c r="K333" s="10" t="n">
        <v>95</v>
      </c>
      <c r="L333" s="10" t="n">
        <v>100</v>
      </c>
      <c r="M333" s="10" t="n">
        <v>131</v>
      </c>
    </row>
    <row r="334" customFormat="false" ht="15" hidden="false" customHeight="false" outlineLevel="0" collapsed="false">
      <c r="A334" s="10" t="s">
        <v>1389</v>
      </c>
      <c r="B334" s="10" t="s">
        <v>395</v>
      </c>
      <c r="C334" s="10" t="s">
        <v>1390</v>
      </c>
      <c r="D334" s="10" t="s">
        <v>397</v>
      </c>
      <c r="E334" s="10" t="s">
        <v>139</v>
      </c>
      <c r="F334" s="10" t="n">
        <v>14</v>
      </c>
      <c r="G334" s="10" t="s">
        <v>597</v>
      </c>
      <c r="H334" s="10" t="n">
        <v>4</v>
      </c>
      <c r="I334" s="10" t="n">
        <v>2</v>
      </c>
      <c r="J334" s="10" t="n">
        <v>8</v>
      </c>
      <c r="K334" s="10" t="n">
        <v>95</v>
      </c>
      <c r="L334" s="10" t="n">
        <v>88</v>
      </c>
      <c r="M334" s="10" t="n">
        <v>198</v>
      </c>
    </row>
    <row r="335" customFormat="false" ht="15" hidden="false" customHeight="false" outlineLevel="0" collapsed="false">
      <c r="A335" s="10" t="s">
        <v>1391</v>
      </c>
      <c r="B335" s="10" t="s">
        <v>395</v>
      </c>
      <c r="C335" s="10" t="s">
        <v>1392</v>
      </c>
      <c r="D335" s="10" t="s">
        <v>440</v>
      </c>
      <c r="E335" s="10" t="s">
        <v>203</v>
      </c>
      <c r="F335" s="10" t="n">
        <v>13</v>
      </c>
      <c r="G335" s="10" t="s">
        <v>1393</v>
      </c>
      <c r="H335" s="10" t="n">
        <v>4</v>
      </c>
      <c r="I335" s="10" t="n">
        <v>2</v>
      </c>
      <c r="J335" s="10" t="n">
        <v>4</v>
      </c>
      <c r="K335" s="10" t="n">
        <v>94</v>
      </c>
      <c r="L335" s="10" t="n">
        <v>100</v>
      </c>
      <c r="M335" s="10" t="n">
        <v>144</v>
      </c>
    </row>
    <row r="336" customFormat="false" ht="15" hidden="false" customHeight="false" outlineLevel="0" collapsed="false">
      <c r="A336" s="10" t="s">
        <v>1394</v>
      </c>
      <c r="B336" s="10" t="s">
        <v>395</v>
      </c>
      <c r="C336" s="10" t="s">
        <v>1395</v>
      </c>
      <c r="D336" s="10" t="s">
        <v>440</v>
      </c>
      <c r="E336" s="10" t="s">
        <v>203</v>
      </c>
      <c r="F336" s="10" t="n">
        <v>14</v>
      </c>
      <c r="G336" s="10" t="s">
        <v>1396</v>
      </c>
      <c r="H336" s="10" t="n">
        <v>4</v>
      </c>
      <c r="I336" s="10" t="n">
        <v>2</v>
      </c>
      <c r="J336" s="10" t="n">
        <v>4</v>
      </c>
      <c r="K336" s="10" t="n">
        <v>96</v>
      </c>
      <c r="L336" s="10" t="n">
        <v>100</v>
      </c>
      <c r="M336" s="10" t="n">
        <v>154</v>
      </c>
    </row>
    <row r="337" customFormat="false" ht="15" hidden="false" customHeight="false" outlineLevel="0" collapsed="false">
      <c r="A337" s="10" t="s">
        <v>1397</v>
      </c>
      <c r="B337" s="10" t="s">
        <v>395</v>
      </c>
      <c r="C337" s="10" t="s">
        <v>1398</v>
      </c>
      <c r="D337" s="10" t="s">
        <v>397</v>
      </c>
      <c r="E337" s="10" t="s">
        <v>83</v>
      </c>
      <c r="F337" s="10" t="n">
        <v>15</v>
      </c>
      <c r="G337" s="10" t="s">
        <v>1399</v>
      </c>
      <c r="H337" s="10" t="n">
        <v>4</v>
      </c>
      <c r="I337" s="10" t="n">
        <v>2</v>
      </c>
      <c r="J337" s="10" t="n">
        <v>8</v>
      </c>
      <c r="K337" s="10" t="n">
        <v>96</v>
      </c>
      <c r="L337" s="10" t="n">
        <v>100</v>
      </c>
      <c r="M337" s="10" t="n">
        <v>216</v>
      </c>
    </row>
    <row r="338" customFormat="false" ht="15" hidden="false" customHeight="false" outlineLevel="0" collapsed="false">
      <c r="A338" s="10" t="s">
        <v>1400</v>
      </c>
      <c r="B338" s="10" t="s">
        <v>395</v>
      </c>
      <c r="C338" s="10" t="s">
        <v>1401</v>
      </c>
      <c r="D338" s="10" t="s">
        <v>417</v>
      </c>
      <c r="E338" s="10" t="s">
        <v>139</v>
      </c>
      <c r="F338" s="10" t="n">
        <v>13</v>
      </c>
      <c r="G338" s="10" t="s">
        <v>1161</v>
      </c>
      <c r="H338" s="10" t="n">
        <v>4</v>
      </c>
      <c r="I338" s="10" t="n">
        <v>2</v>
      </c>
      <c r="J338" s="10" t="n">
        <v>8</v>
      </c>
      <c r="K338" s="10" t="n">
        <v>96</v>
      </c>
      <c r="L338" s="10" t="n">
        <v>88</v>
      </c>
      <c r="M338" s="10" t="n">
        <v>261</v>
      </c>
    </row>
    <row r="339" customFormat="false" ht="15" hidden="false" customHeight="false" outlineLevel="0" collapsed="false">
      <c r="A339" s="10" t="s">
        <v>1402</v>
      </c>
      <c r="B339" s="10" t="s">
        <v>395</v>
      </c>
      <c r="C339" s="10" t="s">
        <v>1403</v>
      </c>
      <c r="D339" s="10" t="s">
        <v>683</v>
      </c>
      <c r="E339" s="10" t="s">
        <v>220</v>
      </c>
      <c r="F339" s="10" t="n">
        <v>14</v>
      </c>
      <c r="G339" s="10" t="s">
        <v>1404</v>
      </c>
      <c r="H339" s="10" t="n">
        <v>4</v>
      </c>
      <c r="I339" s="10" t="n">
        <v>2</v>
      </c>
      <c r="J339" s="10" t="n">
        <v>4</v>
      </c>
      <c r="K339" s="10" t="n">
        <v>94</v>
      </c>
      <c r="L339" s="10" t="n">
        <v>100</v>
      </c>
      <c r="M339" s="10" t="n">
        <v>223</v>
      </c>
    </row>
    <row r="340" customFormat="false" ht="15" hidden="false" customHeight="false" outlineLevel="0" collapsed="false">
      <c r="A340" s="10" t="s">
        <v>1405</v>
      </c>
      <c r="B340" s="10" t="s">
        <v>395</v>
      </c>
      <c r="C340" s="10" t="s">
        <v>1406</v>
      </c>
      <c r="D340" s="10" t="s">
        <v>683</v>
      </c>
      <c r="E340" s="10" t="s">
        <v>220</v>
      </c>
      <c r="F340" s="10" t="n">
        <v>14</v>
      </c>
      <c r="G340" s="10" t="s">
        <v>1407</v>
      </c>
      <c r="H340" s="10" t="n">
        <v>4</v>
      </c>
      <c r="I340" s="10" t="n">
        <v>2</v>
      </c>
      <c r="J340" s="10" t="n">
        <v>7</v>
      </c>
      <c r="K340" s="10" t="n">
        <v>95</v>
      </c>
      <c r="L340" s="10" t="n">
        <v>100</v>
      </c>
      <c r="M340" s="10" t="n">
        <v>183</v>
      </c>
    </row>
    <row r="341" customFormat="false" ht="15" hidden="false" customHeight="false" outlineLevel="0" collapsed="false">
      <c r="A341" s="10" t="s">
        <v>1408</v>
      </c>
      <c r="B341" s="10" t="s">
        <v>395</v>
      </c>
      <c r="C341" s="10" t="s">
        <v>1409</v>
      </c>
      <c r="D341" s="10" t="s">
        <v>683</v>
      </c>
      <c r="E341" s="10"/>
      <c r="F341" s="10" t="n">
        <v>14</v>
      </c>
      <c r="G341" s="10" t="s">
        <v>1410</v>
      </c>
      <c r="H341" s="10" t="n">
        <v>4</v>
      </c>
      <c r="I341" s="10" t="n">
        <v>2</v>
      </c>
      <c r="J341" s="10" t="n">
        <v>5</v>
      </c>
      <c r="K341" s="10" t="n">
        <v>92</v>
      </c>
      <c r="L341" s="10" t="n">
        <v>100</v>
      </c>
      <c r="M341" s="10" t="n">
        <v>261</v>
      </c>
    </row>
    <row r="342" customFormat="false" ht="15" hidden="false" customHeight="false" outlineLevel="0" collapsed="false">
      <c r="A342" s="10" t="s">
        <v>1411</v>
      </c>
      <c r="B342" s="10" t="s">
        <v>395</v>
      </c>
      <c r="C342" s="10" t="s">
        <v>1412</v>
      </c>
      <c r="D342" s="10" t="s">
        <v>465</v>
      </c>
      <c r="E342" s="10" t="s">
        <v>354</v>
      </c>
      <c r="F342" s="10" t="n">
        <v>13</v>
      </c>
      <c r="G342" s="10" t="s">
        <v>1018</v>
      </c>
      <c r="H342" s="10" t="n">
        <v>4</v>
      </c>
      <c r="I342" s="10" t="n">
        <v>2</v>
      </c>
      <c r="J342" s="10" t="n">
        <v>4</v>
      </c>
      <c r="K342" s="10" t="n">
        <v>97</v>
      </c>
      <c r="L342" s="10" t="n">
        <v>100</v>
      </c>
      <c r="M342" s="10" t="n">
        <v>170</v>
      </c>
    </row>
    <row r="343" customFormat="false" ht="15" hidden="false" customHeight="false" outlineLevel="0" collapsed="false">
      <c r="A343" s="10" t="s">
        <v>1413</v>
      </c>
      <c r="B343" s="10" t="s">
        <v>395</v>
      </c>
      <c r="C343" s="10" t="s">
        <v>1414</v>
      </c>
      <c r="D343" s="10" t="s">
        <v>465</v>
      </c>
      <c r="E343" s="10" t="s">
        <v>354</v>
      </c>
      <c r="F343" s="10" t="n">
        <v>13</v>
      </c>
      <c r="G343" s="10" t="s">
        <v>1415</v>
      </c>
      <c r="H343" s="10" t="n">
        <v>4</v>
      </c>
      <c r="I343" s="10" t="n">
        <v>2</v>
      </c>
      <c r="J343" s="10" t="n">
        <v>4</v>
      </c>
      <c r="K343" s="10" t="n">
        <v>97</v>
      </c>
      <c r="L343" s="10" t="n">
        <v>100</v>
      </c>
      <c r="M343" s="10" t="n">
        <v>224</v>
      </c>
    </row>
    <row r="344" customFormat="false" ht="15" hidden="false" customHeight="false" outlineLevel="0" collapsed="false">
      <c r="A344" s="10" t="s">
        <v>1416</v>
      </c>
      <c r="B344" s="10" t="s">
        <v>395</v>
      </c>
      <c r="C344" s="10" t="s">
        <v>1417</v>
      </c>
      <c r="D344" s="10" t="s">
        <v>465</v>
      </c>
      <c r="E344" s="10" t="s">
        <v>354</v>
      </c>
      <c r="F344" s="10" t="n">
        <v>13</v>
      </c>
      <c r="G344" s="10" t="s">
        <v>1418</v>
      </c>
      <c r="H344" s="10" t="n">
        <v>4</v>
      </c>
      <c r="I344" s="10" t="n">
        <v>2</v>
      </c>
      <c r="J344" s="10" t="n">
        <v>5</v>
      </c>
      <c r="K344" s="10" t="n">
        <v>97</v>
      </c>
      <c r="L344" s="10" t="n">
        <v>100</v>
      </c>
      <c r="M344" s="10" t="n">
        <v>250</v>
      </c>
    </row>
    <row r="345" customFormat="false" ht="15" hidden="false" customHeight="false" outlineLevel="0" collapsed="false">
      <c r="A345" s="10" t="s">
        <v>1419</v>
      </c>
      <c r="B345" s="10" t="s">
        <v>395</v>
      </c>
      <c r="C345" s="10" t="s">
        <v>1420</v>
      </c>
      <c r="D345" s="10" t="s">
        <v>465</v>
      </c>
      <c r="E345" s="10" t="s">
        <v>354</v>
      </c>
      <c r="F345" s="10" t="n">
        <v>13</v>
      </c>
      <c r="G345" s="10" t="s">
        <v>1018</v>
      </c>
      <c r="H345" s="10" t="n">
        <v>4</v>
      </c>
      <c r="I345" s="10" t="n">
        <v>2</v>
      </c>
      <c r="J345" s="10" t="n">
        <v>5</v>
      </c>
      <c r="K345" s="10" t="n">
        <v>98</v>
      </c>
      <c r="L345" s="10" t="n">
        <v>100</v>
      </c>
      <c r="M345" s="10" t="n">
        <v>194</v>
      </c>
    </row>
    <row r="346" customFormat="false" ht="15" hidden="false" customHeight="false" outlineLevel="0" collapsed="false">
      <c r="A346" s="10" t="s">
        <v>1421</v>
      </c>
      <c r="B346" s="10" t="s">
        <v>395</v>
      </c>
      <c r="C346" s="10" t="s">
        <v>1422</v>
      </c>
      <c r="D346" s="10" t="s">
        <v>465</v>
      </c>
      <c r="E346" s="10" t="s">
        <v>354</v>
      </c>
      <c r="F346" s="10" t="n">
        <v>13</v>
      </c>
      <c r="G346" s="10" t="s">
        <v>1018</v>
      </c>
      <c r="H346" s="10" t="n">
        <v>4</v>
      </c>
      <c r="I346" s="10" t="n">
        <v>2</v>
      </c>
      <c r="J346" s="10" t="n">
        <v>5</v>
      </c>
      <c r="K346" s="10" t="n">
        <v>96</v>
      </c>
      <c r="L346" s="10" t="n">
        <v>100</v>
      </c>
      <c r="M346" s="10" t="n">
        <v>154</v>
      </c>
    </row>
    <row r="347" customFormat="false" ht="15" hidden="false" customHeight="false" outlineLevel="0" collapsed="false">
      <c r="A347" s="10" t="s">
        <v>1423</v>
      </c>
      <c r="B347" s="10" t="s">
        <v>395</v>
      </c>
      <c r="C347" s="10" t="s">
        <v>1424</v>
      </c>
      <c r="D347" s="10" t="s">
        <v>465</v>
      </c>
      <c r="E347" s="10" t="s">
        <v>354</v>
      </c>
      <c r="F347" s="10" t="n">
        <v>13</v>
      </c>
      <c r="G347" s="10" t="s">
        <v>1018</v>
      </c>
      <c r="H347" s="10" t="n">
        <v>4</v>
      </c>
      <c r="I347" s="10" t="n">
        <v>2</v>
      </c>
      <c r="J347" s="10" t="n">
        <v>5</v>
      </c>
      <c r="K347" s="10" t="n">
        <v>96</v>
      </c>
      <c r="L347" s="10" t="n">
        <v>100</v>
      </c>
      <c r="M347" s="10" t="n">
        <v>226</v>
      </c>
    </row>
    <row r="348" customFormat="false" ht="15" hidden="false" customHeight="false" outlineLevel="0" collapsed="false">
      <c r="A348" s="10" t="s">
        <v>1425</v>
      </c>
      <c r="B348" s="10" t="s">
        <v>395</v>
      </c>
      <c r="C348" s="10" t="s">
        <v>1426</v>
      </c>
      <c r="D348" s="10" t="s">
        <v>465</v>
      </c>
      <c r="E348" s="10" t="s">
        <v>354</v>
      </c>
      <c r="F348" s="10" t="n">
        <v>14</v>
      </c>
      <c r="G348" s="10" t="s">
        <v>1427</v>
      </c>
      <c r="H348" s="10" t="n">
        <v>4</v>
      </c>
      <c r="I348" s="10" t="n">
        <v>2</v>
      </c>
      <c r="J348" s="10" t="n">
        <v>5</v>
      </c>
      <c r="K348" s="10" t="n">
        <v>96</v>
      </c>
      <c r="L348" s="10" t="n">
        <v>100</v>
      </c>
      <c r="M348" s="10" t="n">
        <v>154</v>
      </c>
    </row>
    <row r="349" customFormat="false" ht="15" hidden="false" customHeight="false" outlineLevel="0" collapsed="false">
      <c r="A349" s="10" t="s">
        <v>1428</v>
      </c>
      <c r="B349" s="10" t="s">
        <v>395</v>
      </c>
      <c r="C349" s="10" t="s">
        <v>1429</v>
      </c>
      <c r="D349" s="10" t="s">
        <v>465</v>
      </c>
      <c r="E349" s="10" t="s">
        <v>354</v>
      </c>
      <c r="F349" s="10" t="n">
        <v>13</v>
      </c>
      <c r="G349" s="10" t="s">
        <v>1018</v>
      </c>
      <c r="H349" s="10" t="n">
        <v>4</v>
      </c>
      <c r="I349" s="10" t="n">
        <v>2</v>
      </c>
      <c r="J349" s="10" t="n">
        <v>5</v>
      </c>
      <c r="K349" s="10" t="n">
        <v>97</v>
      </c>
      <c r="L349" s="10" t="n">
        <v>100</v>
      </c>
      <c r="M349" s="10" t="n">
        <v>165</v>
      </c>
    </row>
    <row r="350" customFormat="false" ht="15" hidden="false" customHeight="false" outlineLevel="0" collapsed="false">
      <c r="A350" s="10" t="s">
        <v>1430</v>
      </c>
      <c r="B350" s="10" t="s">
        <v>395</v>
      </c>
      <c r="C350" s="10" t="s">
        <v>1431</v>
      </c>
      <c r="D350" s="10" t="s">
        <v>397</v>
      </c>
      <c r="E350" s="10" t="s">
        <v>370</v>
      </c>
      <c r="F350" s="10" t="n">
        <v>13</v>
      </c>
      <c r="G350" s="10" t="s">
        <v>1432</v>
      </c>
      <c r="H350" s="10" t="n">
        <v>4</v>
      </c>
      <c r="I350" s="10" t="n">
        <v>2</v>
      </c>
      <c r="J350" s="10" t="n">
        <v>9</v>
      </c>
      <c r="K350" s="10" t="n">
        <v>98</v>
      </c>
      <c r="L350" s="10" t="n">
        <v>100</v>
      </c>
      <c r="M350" s="10" t="n">
        <v>269</v>
      </c>
    </row>
    <row r="351" customFormat="false" ht="15" hidden="false" customHeight="false" outlineLevel="0" collapsed="false">
      <c r="A351" s="10" t="s">
        <v>1433</v>
      </c>
      <c r="B351" s="10" t="s">
        <v>395</v>
      </c>
      <c r="C351" s="10" t="s">
        <v>1434</v>
      </c>
      <c r="D351" s="10" t="s">
        <v>397</v>
      </c>
      <c r="E351" s="10" t="s">
        <v>370</v>
      </c>
      <c r="F351" s="10" t="n">
        <v>13</v>
      </c>
      <c r="G351" s="10" t="s">
        <v>1435</v>
      </c>
      <c r="H351" s="10" t="n">
        <v>4</v>
      </c>
      <c r="I351" s="10" t="n">
        <v>2</v>
      </c>
      <c r="J351" s="10" t="n">
        <v>9</v>
      </c>
      <c r="K351" s="10" t="n">
        <v>96</v>
      </c>
      <c r="L351" s="10" t="n">
        <v>100</v>
      </c>
      <c r="M351" s="10" t="n">
        <v>172</v>
      </c>
    </row>
    <row r="352" customFormat="false" ht="15" hidden="false" customHeight="false" outlineLevel="0" collapsed="false">
      <c r="A352" s="10" t="s">
        <v>1436</v>
      </c>
      <c r="B352" s="10" t="s">
        <v>395</v>
      </c>
      <c r="C352" s="10" t="s">
        <v>1437</v>
      </c>
      <c r="D352" s="10" t="s">
        <v>397</v>
      </c>
      <c r="E352" s="10" t="s">
        <v>370</v>
      </c>
      <c r="F352" s="10" t="n">
        <v>12</v>
      </c>
      <c r="G352" s="10" t="s">
        <v>1438</v>
      </c>
      <c r="H352" s="10" t="n">
        <v>4</v>
      </c>
      <c r="I352" s="10" t="n">
        <v>2</v>
      </c>
      <c r="J352" s="10" t="n">
        <v>8</v>
      </c>
      <c r="K352" s="10" t="n">
        <v>98</v>
      </c>
      <c r="L352" s="10" t="n">
        <v>100</v>
      </c>
      <c r="M352" s="10" t="n">
        <v>191</v>
      </c>
    </row>
    <row r="353" customFormat="false" ht="15" hidden="false" customHeight="false" outlineLevel="0" collapsed="false">
      <c r="A353" s="10" t="s">
        <v>1439</v>
      </c>
      <c r="B353" s="10" t="s">
        <v>395</v>
      </c>
      <c r="C353" s="10" t="s">
        <v>1440</v>
      </c>
      <c r="D353" s="10" t="s">
        <v>397</v>
      </c>
      <c r="E353" s="10" t="s">
        <v>370</v>
      </c>
      <c r="F353" s="10" t="n">
        <v>13</v>
      </c>
      <c r="G353" s="10" t="s">
        <v>1441</v>
      </c>
      <c r="H353" s="10" t="n">
        <v>4</v>
      </c>
      <c r="I353" s="10" t="n">
        <v>2</v>
      </c>
      <c r="J353" s="10" t="n">
        <v>9</v>
      </c>
      <c r="K353" s="10" t="n">
        <v>96</v>
      </c>
      <c r="L353" s="10" t="n">
        <v>100</v>
      </c>
      <c r="M353" s="10" t="n">
        <v>274</v>
      </c>
    </row>
    <row r="354" customFormat="false" ht="15" hidden="false" customHeight="false" outlineLevel="0" collapsed="false">
      <c r="A354" s="10" t="s">
        <v>1442</v>
      </c>
      <c r="B354" s="10" t="s">
        <v>395</v>
      </c>
      <c r="C354" s="10" t="s">
        <v>1443</v>
      </c>
      <c r="D354" s="10" t="s">
        <v>397</v>
      </c>
      <c r="E354" s="10" t="s">
        <v>370</v>
      </c>
      <c r="F354" s="10" t="n">
        <v>13</v>
      </c>
      <c r="G354" s="10" t="s">
        <v>1444</v>
      </c>
      <c r="H354" s="10" t="n">
        <v>4</v>
      </c>
      <c r="I354" s="10" t="n">
        <v>2</v>
      </c>
      <c r="J354" s="10" t="n">
        <v>9</v>
      </c>
      <c r="K354" s="10" t="n">
        <v>97</v>
      </c>
      <c r="L354" s="10" t="n">
        <v>100</v>
      </c>
      <c r="M354" s="10" t="n">
        <v>276</v>
      </c>
    </row>
    <row r="355" customFormat="false" ht="15" hidden="false" customHeight="false" outlineLevel="0" collapsed="false">
      <c r="A355" s="10" t="s">
        <v>1445</v>
      </c>
      <c r="B355" s="10" t="s">
        <v>395</v>
      </c>
      <c r="C355" s="10" t="s">
        <v>1446</v>
      </c>
      <c r="D355" s="10" t="s">
        <v>397</v>
      </c>
      <c r="E355" s="10" t="s">
        <v>370</v>
      </c>
      <c r="F355" s="10" t="n">
        <v>12</v>
      </c>
      <c r="G355" s="10" t="s">
        <v>1447</v>
      </c>
      <c r="H355" s="10" t="n">
        <v>4</v>
      </c>
      <c r="I355" s="10" t="n">
        <v>2</v>
      </c>
      <c r="J355" s="10" t="n">
        <v>11</v>
      </c>
      <c r="K355" s="10" t="n">
        <v>98</v>
      </c>
      <c r="L355" s="10" t="n">
        <v>100</v>
      </c>
      <c r="M355" s="10" t="n">
        <v>215</v>
      </c>
    </row>
    <row r="356" customFormat="false" ht="15" hidden="false" customHeight="false" outlineLevel="0" collapsed="false">
      <c r="A356" s="10" t="s">
        <v>1448</v>
      </c>
      <c r="B356" s="10" t="s">
        <v>395</v>
      </c>
      <c r="C356" s="10" t="s">
        <v>1449</v>
      </c>
      <c r="D356" s="10" t="s">
        <v>397</v>
      </c>
      <c r="E356" s="10" t="s">
        <v>370</v>
      </c>
      <c r="F356" s="10" t="n">
        <v>12</v>
      </c>
      <c r="G356" s="10" t="s">
        <v>1450</v>
      </c>
      <c r="H356" s="10" t="n">
        <v>4</v>
      </c>
      <c r="I356" s="10" t="n">
        <v>2</v>
      </c>
      <c r="J356" s="10" t="n">
        <v>9</v>
      </c>
      <c r="K356" s="10" t="n">
        <v>97</v>
      </c>
      <c r="L356" s="10" t="n">
        <v>100</v>
      </c>
      <c r="M356" s="10" t="n">
        <v>259</v>
      </c>
    </row>
    <row r="357" customFormat="false" ht="15" hidden="false" customHeight="false" outlineLevel="0" collapsed="false">
      <c r="A357" s="10" t="s">
        <v>1451</v>
      </c>
      <c r="B357" s="10" t="s">
        <v>395</v>
      </c>
      <c r="C357" s="10" t="s">
        <v>1452</v>
      </c>
      <c r="D357" s="10" t="s">
        <v>397</v>
      </c>
      <c r="E357" s="10" t="s">
        <v>370</v>
      </c>
      <c r="F357" s="10" t="n">
        <v>13</v>
      </c>
      <c r="G357" s="10" t="s">
        <v>1453</v>
      </c>
      <c r="H357" s="10" t="n">
        <v>4</v>
      </c>
      <c r="I357" s="10" t="n">
        <v>2</v>
      </c>
      <c r="J357" s="10" t="n">
        <v>9</v>
      </c>
      <c r="K357" s="10" t="n">
        <v>98</v>
      </c>
      <c r="L357" s="10" t="n">
        <v>100</v>
      </c>
      <c r="M357" s="10" t="n">
        <v>202</v>
      </c>
    </row>
    <row r="358" customFormat="false" ht="15" hidden="false" customHeight="false" outlineLevel="0" collapsed="false">
      <c r="A358" s="10" t="s">
        <v>1454</v>
      </c>
      <c r="B358" s="10" t="s">
        <v>395</v>
      </c>
      <c r="C358" s="10" t="s">
        <v>1455</v>
      </c>
      <c r="D358" s="10" t="s">
        <v>401</v>
      </c>
      <c r="E358" s="10" t="s">
        <v>161</v>
      </c>
      <c r="F358" s="10" t="n">
        <v>13</v>
      </c>
      <c r="G358" s="10" t="s">
        <v>1456</v>
      </c>
      <c r="H358" s="10" t="n">
        <v>4</v>
      </c>
      <c r="I358" s="10" t="n">
        <v>2</v>
      </c>
      <c r="J358" s="10" t="n">
        <v>7</v>
      </c>
      <c r="K358" s="10" t="n">
        <v>97</v>
      </c>
      <c r="L358" s="10" t="n">
        <v>100</v>
      </c>
      <c r="M358" s="10" t="n">
        <v>204</v>
      </c>
    </row>
    <row r="359" customFormat="false" ht="15" hidden="false" customHeight="false" outlineLevel="0" collapsed="false">
      <c r="A359" s="10" t="s">
        <v>1457</v>
      </c>
      <c r="B359" s="10" t="s">
        <v>395</v>
      </c>
      <c r="C359" s="10" t="s">
        <v>1458</v>
      </c>
      <c r="D359" s="10" t="s">
        <v>401</v>
      </c>
      <c r="E359" s="10" t="s">
        <v>196</v>
      </c>
      <c r="F359" s="10" t="n">
        <v>14</v>
      </c>
      <c r="G359" s="10" t="s">
        <v>1459</v>
      </c>
      <c r="H359" s="10" t="n">
        <v>4</v>
      </c>
      <c r="I359" s="10" t="n">
        <v>2</v>
      </c>
      <c r="J359" s="10" t="n">
        <v>4</v>
      </c>
      <c r="K359" s="10" t="n">
        <v>96</v>
      </c>
      <c r="L359" s="10" t="n">
        <v>100</v>
      </c>
      <c r="M359" s="10" t="n">
        <v>180</v>
      </c>
    </row>
    <row r="360" customFormat="false" ht="15" hidden="false" customHeight="false" outlineLevel="0" collapsed="false">
      <c r="A360" s="10" t="s">
        <v>1460</v>
      </c>
      <c r="B360" s="10" t="s">
        <v>395</v>
      </c>
      <c r="C360" s="10" t="s">
        <v>1461</v>
      </c>
      <c r="D360" s="10" t="s">
        <v>409</v>
      </c>
      <c r="E360" s="10" t="s">
        <v>90</v>
      </c>
      <c r="F360" s="10" t="n">
        <v>11</v>
      </c>
      <c r="G360" s="10" t="s">
        <v>1462</v>
      </c>
      <c r="H360" s="10" t="n">
        <v>4</v>
      </c>
      <c r="I360" s="10" t="n">
        <v>2</v>
      </c>
      <c r="J360" s="10" t="n">
        <v>5</v>
      </c>
      <c r="K360" s="10" t="n">
        <v>97</v>
      </c>
      <c r="L360" s="10" t="n">
        <v>100</v>
      </c>
      <c r="M360" s="10" t="n">
        <v>152</v>
      </c>
    </row>
    <row r="361" customFormat="false" ht="15" hidden="false" customHeight="false" outlineLevel="0" collapsed="false">
      <c r="A361" s="10" t="s">
        <v>1463</v>
      </c>
      <c r="B361" s="10" t="s">
        <v>395</v>
      </c>
      <c r="C361" s="10" t="s">
        <v>1464</v>
      </c>
      <c r="D361" s="10" t="s">
        <v>428</v>
      </c>
      <c r="E361" s="10" t="s">
        <v>359</v>
      </c>
      <c r="F361" s="10" t="n">
        <v>12</v>
      </c>
      <c r="G361" s="10" t="s">
        <v>1465</v>
      </c>
      <c r="H361" s="10" t="n">
        <v>4</v>
      </c>
      <c r="I361" s="10" t="n">
        <v>2</v>
      </c>
      <c r="J361" s="10" t="n">
        <v>5</v>
      </c>
      <c r="K361" s="10" t="n">
        <v>97</v>
      </c>
      <c r="L361" s="10" t="n">
        <v>100</v>
      </c>
      <c r="M361" s="10" t="n">
        <v>163</v>
      </c>
    </row>
    <row r="362" customFormat="false" ht="15" hidden="false" customHeight="false" outlineLevel="0" collapsed="false">
      <c r="A362" s="10" t="s">
        <v>1466</v>
      </c>
      <c r="B362" s="10" t="s">
        <v>395</v>
      </c>
      <c r="C362" s="10" t="s">
        <v>1467</v>
      </c>
      <c r="D362" s="10" t="s">
        <v>428</v>
      </c>
      <c r="E362" s="10" t="s">
        <v>359</v>
      </c>
      <c r="F362" s="10" t="n">
        <v>13</v>
      </c>
      <c r="G362" s="10" t="s">
        <v>1468</v>
      </c>
      <c r="H362" s="10" t="n">
        <v>4</v>
      </c>
      <c r="I362" s="10" t="n">
        <v>2</v>
      </c>
      <c r="J362" s="10" t="n">
        <v>5</v>
      </c>
      <c r="K362" s="10" t="n">
        <v>96</v>
      </c>
      <c r="L362" s="10" t="n">
        <v>100</v>
      </c>
      <c r="M362" s="10" t="n">
        <v>119</v>
      </c>
    </row>
    <row r="363" customFormat="false" ht="15" hidden="false" customHeight="false" outlineLevel="0" collapsed="false">
      <c r="A363" s="10" t="s">
        <v>1469</v>
      </c>
      <c r="B363" s="10" t="s">
        <v>395</v>
      </c>
      <c r="C363" s="10" t="s">
        <v>1470</v>
      </c>
      <c r="D363" s="10" t="s">
        <v>832</v>
      </c>
      <c r="E363" s="10" t="s">
        <v>359</v>
      </c>
      <c r="F363" s="10" t="n">
        <v>13</v>
      </c>
      <c r="G363" s="10" t="s">
        <v>963</v>
      </c>
      <c r="H363" s="10" t="n">
        <v>4</v>
      </c>
      <c r="I363" s="10" t="n">
        <v>2</v>
      </c>
      <c r="J363" s="10" t="n">
        <v>5</v>
      </c>
      <c r="K363" s="10" t="n">
        <v>95</v>
      </c>
      <c r="L363" s="10" t="n">
        <v>100</v>
      </c>
      <c r="M363" s="10" t="n">
        <v>152</v>
      </c>
    </row>
    <row r="364" customFormat="false" ht="15" hidden="false" customHeight="false" outlineLevel="0" collapsed="false">
      <c r="A364" s="10" t="s">
        <v>1471</v>
      </c>
      <c r="B364" s="10" t="s">
        <v>395</v>
      </c>
      <c r="C364" s="10" t="s">
        <v>1472</v>
      </c>
      <c r="D364" s="10" t="s">
        <v>428</v>
      </c>
      <c r="E364" s="10" t="s">
        <v>359</v>
      </c>
      <c r="F364" s="10" t="n">
        <v>14</v>
      </c>
      <c r="G364" s="10" t="s">
        <v>1473</v>
      </c>
      <c r="H364" s="10" t="n">
        <v>4</v>
      </c>
      <c r="I364" s="10" t="n">
        <v>2</v>
      </c>
      <c r="J364" s="10" t="n">
        <v>5</v>
      </c>
      <c r="K364" s="10" t="n">
        <v>96</v>
      </c>
      <c r="L364" s="10" t="n">
        <v>100</v>
      </c>
      <c r="M364" s="10" t="n">
        <v>116</v>
      </c>
    </row>
    <row r="365" customFormat="false" ht="15" hidden="false" customHeight="false" outlineLevel="0" collapsed="false">
      <c r="A365" s="10" t="s">
        <v>1474</v>
      </c>
      <c r="B365" s="10" t="s">
        <v>395</v>
      </c>
      <c r="C365" s="10" t="s">
        <v>1475</v>
      </c>
      <c r="D365" s="10" t="s">
        <v>832</v>
      </c>
      <c r="E365" s="10" t="s">
        <v>359</v>
      </c>
      <c r="F365" s="10" t="n">
        <v>12</v>
      </c>
      <c r="G365" s="10" t="s">
        <v>1476</v>
      </c>
      <c r="H365" s="10" t="n">
        <v>4</v>
      </c>
      <c r="I365" s="10" t="n">
        <v>2</v>
      </c>
      <c r="J365" s="10" t="n">
        <v>4</v>
      </c>
      <c r="K365" s="10" t="n">
        <v>97</v>
      </c>
      <c r="L365" s="10" t="n">
        <v>100</v>
      </c>
      <c r="M365" s="10" t="n">
        <v>222</v>
      </c>
    </row>
    <row r="366" customFormat="false" ht="15" hidden="false" customHeight="false" outlineLevel="0" collapsed="false">
      <c r="A366" s="10" t="s">
        <v>1477</v>
      </c>
      <c r="B366" s="10" t="s">
        <v>395</v>
      </c>
      <c r="C366" s="10" t="s">
        <v>1478</v>
      </c>
      <c r="D366" s="10" t="s">
        <v>832</v>
      </c>
      <c r="E366" s="10" t="s">
        <v>359</v>
      </c>
      <c r="F366" s="10" t="n">
        <v>14</v>
      </c>
      <c r="G366" s="10" t="s">
        <v>963</v>
      </c>
      <c r="H366" s="10" t="n">
        <v>4</v>
      </c>
      <c r="I366" s="10" t="n">
        <v>2</v>
      </c>
      <c r="J366" s="10" t="n">
        <v>5</v>
      </c>
      <c r="K366" s="10" t="n">
        <v>95</v>
      </c>
      <c r="L366" s="10" t="n">
        <v>100</v>
      </c>
      <c r="M366" s="10" t="n">
        <v>156</v>
      </c>
    </row>
    <row r="367" customFormat="false" ht="15" hidden="false" customHeight="false" outlineLevel="0" collapsed="false">
      <c r="A367" s="10" t="s">
        <v>1479</v>
      </c>
      <c r="B367" s="10" t="s">
        <v>395</v>
      </c>
      <c r="C367" s="10" t="s">
        <v>1480</v>
      </c>
      <c r="D367" s="10" t="s">
        <v>428</v>
      </c>
      <c r="E367" s="10" t="s">
        <v>359</v>
      </c>
      <c r="F367" s="10" t="n">
        <v>12</v>
      </c>
      <c r="G367" s="10" t="s">
        <v>1481</v>
      </c>
      <c r="H367" s="10" t="n">
        <v>4</v>
      </c>
      <c r="I367" s="10" t="n">
        <v>2</v>
      </c>
      <c r="J367" s="10" t="n">
        <v>5</v>
      </c>
      <c r="K367" s="10" t="n">
        <v>96</v>
      </c>
      <c r="L367" s="10" t="n">
        <v>100</v>
      </c>
      <c r="M367" s="10" t="n">
        <v>198</v>
      </c>
    </row>
    <row r="368" customFormat="false" ht="15" hidden="false" customHeight="false" outlineLevel="0" collapsed="false">
      <c r="A368" s="10" t="s">
        <v>1482</v>
      </c>
      <c r="B368" s="10" t="s">
        <v>395</v>
      </c>
      <c r="C368" s="10" t="s">
        <v>1483</v>
      </c>
      <c r="D368" s="10" t="s">
        <v>832</v>
      </c>
      <c r="E368" s="10" t="s">
        <v>359</v>
      </c>
      <c r="F368" s="10" t="n">
        <v>13</v>
      </c>
      <c r="G368" s="10" t="s">
        <v>1484</v>
      </c>
      <c r="H368" s="10" t="n">
        <v>4</v>
      </c>
      <c r="I368" s="10" t="n">
        <v>2</v>
      </c>
      <c r="J368" s="10" t="n">
        <v>5</v>
      </c>
      <c r="K368" s="10" t="n">
        <v>97</v>
      </c>
      <c r="L368" s="10" t="n">
        <v>100</v>
      </c>
      <c r="M368" s="10" t="n">
        <v>208</v>
      </c>
    </row>
    <row r="369" customFormat="false" ht="15" hidden="false" customHeight="false" outlineLevel="0" collapsed="false">
      <c r="A369" s="10" t="s">
        <v>1485</v>
      </c>
      <c r="B369" s="10" t="s">
        <v>395</v>
      </c>
      <c r="C369" s="10" t="s">
        <v>1486</v>
      </c>
      <c r="D369" s="10" t="s">
        <v>832</v>
      </c>
      <c r="E369" s="10" t="s">
        <v>350</v>
      </c>
      <c r="F369" s="10" t="n">
        <v>13</v>
      </c>
      <c r="G369" s="10" t="s">
        <v>1487</v>
      </c>
      <c r="H369" s="10" t="n">
        <v>4</v>
      </c>
      <c r="I369" s="10" t="n">
        <v>2</v>
      </c>
      <c r="J369" s="10" t="n">
        <v>4</v>
      </c>
      <c r="K369" s="10" t="n">
        <v>97</v>
      </c>
      <c r="L369" s="10" t="n">
        <v>100</v>
      </c>
      <c r="M369" s="10" t="n">
        <v>154</v>
      </c>
    </row>
    <row r="370" customFormat="false" ht="15" hidden="false" customHeight="false" outlineLevel="0" collapsed="false">
      <c r="A370" s="10" t="s">
        <v>1488</v>
      </c>
      <c r="B370" s="10" t="s">
        <v>395</v>
      </c>
      <c r="C370" s="10" t="s">
        <v>1489</v>
      </c>
      <c r="D370" s="10" t="s">
        <v>832</v>
      </c>
      <c r="E370" s="10" t="s">
        <v>350</v>
      </c>
      <c r="F370" s="10" t="n">
        <v>14</v>
      </c>
      <c r="G370" s="10" t="s">
        <v>891</v>
      </c>
      <c r="H370" s="10" t="n">
        <v>4</v>
      </c>
      <c r="I370" s="10" t="n">
        <v>2</v>
      </c>
      <c r="J370" s="10" t="n">
        <v>3</v>
      </c>
      <c r="K370" s="10" t="n">
        <v>93</v>
      </c>
      <c r="L370" s="10" t="n">
        <v>100</v>
      </c>
      <c r="M370" s="10" t="n">
        <v>153</v>
      </c>
    </row>
    <row r="371" customFormat="false" ht="15" hidden="false" customHeight="false" outlineLevel="0" collapsed="false">
      <c r="A371" s="10" t="s">
        <v>1490</v>
      </c>
      <c r="B371" s="10" t="s">
        <v>395</v>
      </c>
      <c r="C371" s="10" t="s">
        <v>1491</v>
      </c>
      <c r="D371" s="10" t="s">
        <v>832</v>
      </c>
      <c r="E371" s="10" t="s">
        <v>350</v>
      </c>
      <c r="F371" s="10" t="n">
        <v>13</v>
      </c>
      <c r="G371" s="10" t="s">
        <v>1492</v>
      </c>
      <c r="H371" s="10" t="n">
        <v>4</v>
      </c>
      <c r="I371" s="10" t="n">
        <v>2</v>
      </c>
      <c r="J371" s="10" t="n">
        <v>3</v>
      </c>
      <c r="K371" s="10" t="n">
        <v>96</v>
      </c>
      <c r="L371" s="10" t="n">
        <v>100</v>
      </c>
      <c r="M371" s="10" t="n">
        <v>112</v>
      </c>
    </row>
    <row r="372" customFormat="false" ht="15" hidden="false" customHeight="false" outlineLevel="0" collapsed="false">
      <c r="A372" s="10" t="s">
        <v>1493</v>
      </c>
      <c r="B372" s="10" t="s">
        <v>395</v>
      </c>
      <c r="C372" s="10" t="s">
        <v>1494</v>
      </c>
      <c r="D372" s="10" t="s">
        <v>832</v>
      </c>
      <c r="E372" s="10" t="s">
        <v>350</v>
      </c>
      <c r="F372" s="10" t="n">
        <v>12</v>
      </c>
      <c r="G372" s="10" t="s">
        <v>1495</v>
      </c>
      <c r="H372" s="10" t="n">
        <v>4</v>
      </c>
      <c r="I372" s="10" t="n">
        <v>2</v>
      </c>
      <c r="J372" s="10" t="n">
        <v>3</v>
      </c>
      <c r="K372" s="10" t="n">
        <v>94</v>
      </c>
      <c r="L372" s="10" t="n">
        <v>100</v>
      </c>
      <c r="M372" s="10" t="n">
        <v>164</v>
      </c>
    </row>
    <row r="373" customFormat="false" ht="15" hidden="false" customHeight="false" outlineLevel="0" collapsed="false">
      <c r="A373" s="10" t="s">
        <v>1496</v>
      </c>
      <c r="B373" s="10" t="s">
        <v>395</v>
      </c>
      <c r="C373" s="10" t="s">
        <v>1497</v>
      </c>
      <c r="D373" s="10" t="s">
        <v>832</v>
      </c>
      <c r="E373" s="10" t="s">
        <v>350</v>
      </c>
      <c r="F373" s="10" t="n">
        <v>15</v>
      </c>
      <c r="G373" s="10" t="s">
        <v>1498</v>
      </c>
      <c r="H373" s="10" t="n">
        <v>4</v>
      </c>
      <c r="I373" s="10" t="n">
        <v>2</v>
      </c>
      <c r="J373" s="10" t="n">
        <v>4</v>
      </c>
      <c r="K373" s="10" t="n">
        <v>95</v>
      </c>
      <c r="L373" s="10" t="n">
        <v>100</v>
      </c>
      <c r="M373" s="10" t="n">
        <v>172</v>
      </c>
    </row>
    <row r="374" customFormat="false" ht="15" hidden="false" customHeight="false" outlineLevel="0" collapsed="false">
      <c r="A374" s="10" t="s">
        <v>1499</v>
      </c>
      <c r="B374" s="10" t="s">
        <v>395</v>
      </c>
      <c r="C374" s="10" t="s">
        <v>1500</v>
      </c>
      <c r="D374" s="10" t="s">
        <v>832</v>
      </c>
      <c r="E374" s="10" t="s">
        <v>350</v>
      </c>
      <c r="F374" s="10" t="n">
        <v>14</v>
      </c>
      <c r="G374" s="10" t="s">
        <v>1501</v>
      </c>
      <c r="H374" s="10" t="n">
        <v>4</v>
      </c>
      <c r="I374" s="10" t="n">
        <v>2</v>
      </c>
      <c r="J374" s="10" t="n">
        <v>5</v>
      </c>
      <c r="K374" s="10" t="n">
        <v>96</v>
      </c>
      <c r="L374" s="10" t="n">
        <v>100</v>
      </c>
      <c r="M374" s="10" t="n">
        <v>142</v>
      </c>
    </row>
    <row r="375" customFormat="false" ht="15" hidden="false" customHeight="false" outlineLevel="0" collapsed="false">
      <c r="A375" s="10" t="s">
        <v>1502</v>
      </c>
      <c r="B375" s="10" t="s">
        <v>395</v>
      </c>
      <c r="C375" s="10" t="s">
        <v>1503</v>
      </c>
      <c r="D375" s="10" t="s">
        <v>832</v>
      </c>
      <c r="E375" s="10" t="s">
        <v>350</v>
      </c>
      <c r="F375" s="10" t="n">
        <v>12</v>
      </c>
      <c r="G375" s="10" t="s">
        <v>1504</v>
      </c>
      <c r="H375" s="10" t="n">
        <v>4</v>
      </c>
      <c r="I375" s="10" t="n">
        <v>2</v>
      </c>
      <c r="J375" s="10" t="n">
        <v>3</v>
      </c>
      <c r="K375" s="10" t="n">
        <v>96</v>
      </c>
      <c r="L375" s="10" t="n">
        <v>100</v>
      </c>
      <c r="M375" s="10" t="n">
        <v>94</v>
      </c>
    </row>
    <row r="376" customFormat="false" ht="15" hidden="false" customHeight="false" outlineLevel="0" collapsed="false">
      <c r="A376" s="10" t="s">
        <v>1505</v>
      </c>
      <c r="B376" s="10" t="s">
        <v>395</v>
      </c>
      <c r="C376" s="10" t="s">
        <v>1506</v>
      </c>
      <c r="D376" s="10" t="s">
        <v>832</v>
      </c>
      <c r="E376" s="10" t="s">
        <v>350</v>
      </c>
      <c r="F376" s="10" t="n">
        <v>14</v>
      </c>
      <c r="G376" s="10" t="s">
        <v>1330</v>
      </c>
      <c r="H376" s="10" t="n">
        <v>4</v>
      </c>
      <c r="I376" s="10" t="n">
        <v>2</v>
      </c>
      <c r="J376" s="10" t="n">
        <v>4</v>
      </c>
      <c r="K376" s="10" t="n">
        <v>94</v>
      </c>
      <c r="L376" s="10" t="n">
        <v>100</v>
      </c>
      <c r="M376" s="10" t="n">
        <v>121</v>
      </c>
    </row>
    <row r="377" customFormat="false" ht="15" hidden="false" customHeight="false" outlineLevel="0" collapsed="false">
      <c r="A377" s="10" t="s">
        <v>1507</v>
      </c>
      <c r="B377" s="10" t="s">
        <v>395</v>
      </c>
      <c r="C377" s="10" t="s">
        <v>1508</v>
      </c>
      <c r="D377" s="10" t="s">
        <v>417</v>
      </c>
      <c r="E377" s="10" t="s">
        <v>247</v>
      </c>
      <c r="F377" s="10" t="n">
        <v>14</v>
      </c>
      <c r="G377" s="10" t="s">
        <v>1509</v>
      </c>
      <c r="H377" s="10" t="n">
        <v>4</v>
      </c>
      <c r="I377" s="10" t="n">
        <v>2</v>
      </c>
      <c r="J377" s="10" t="n">
        <v>4</v>
      </c>
      <c r="K377" s="10" t="n">
        <v>96</v>
      </c>
      <c r="L377" s="10" t="n">
        <v>100</v>
      </c>
      <c r="M377" s="10" t="n">
        <v>197</v>
      </c>
    </row>
    <row r="378" customFormat="false" ht="15" hidden="false" customHeight="false" outlineLevel="0" collapsed="false">
      <c r="A378" s="10" t="s">
        <v>1510</v>
      </c>
      <c r="B378" s="10" t="s">
        <v>395</v>
      </c>
      <c r="C378" s="10" t="s">
        <v>1511</v>
      </c>
      <c r="D378" s="10" t="s">
        <v>413</v>
      </c>
      <c r="E378" s="10" t="s">
        <v>152</v>
      </c>
      <c r="F378" s="10" t="n">
        <v>15</v>
      </c>
      <c r="G378" s="10" t="s">
        <v>1512</v>
      </c>
      <c r="H378" s="10" t="n">
        <v>4</v>
      </c>
      <c r="I378" s="10" t="n">
        <v>2</v>
      </c>
      <c r="J378" s="10" t="n">
        <v>7</v>
      </c>
      <c r="K378" s="10" t="n">
        <v>97</v>
      </c>
      <c r="L378" s="10" t="n">
        <v>100</v>
      </c>
      <c r="M378" s="10" t="n">
        <v>183</v>
      </c>
    </row>
    <row r="379" customFormat="false" ht="15" hidden="false" customHeight="false" outlineLevel="0" collapsed="false">
      <c r="A379" s="10" t="s">
        <v>1513</v>
      </c>
      <c r="B379" s="10" t="s">
        <v>395</v>
      </c>
      <c r="C379" s="10" t="s">
        <v>1514</v>
      </c>
      <c r="D379" s="10" t="s">
        <v>499</v>
      </c>
      <c r="E379" s="10" t="s">
        <v>856</v>
      </c>
      <c r="F379" s="10" t="n">
        <v>10</v>
      </c>
      <c r="G379" s="10" t="s">
        <v>1515</v>
      </c>
      <c r="H379" s="10" t="n">
        <v>4</v>
      </c>
      <c r="I379" s="10" t="n">
        <v>2</v>
      </c>
      <c r="J379" s="10" t="n">
        <v>6</v>
      </c>
      <c r="K379" s="10" t="n">
        <v>92</v>
      </c>
      <c r="L379" s="10" t="n">
        <v>83</v>
      </c>
      <c r="M379" s="10" t="n">
        <v>102</v>
      </c>
    </row>
    <row r="380" customFormat="false" ht="15" hidden="false" customHeight="false" outlineLevel="0" collapsed="false">
      <c r="A380" s="10" t="s">
        <v>1516</v>
      </c>
      <c r="B380" s="10" t="s">
        <v>395</v>
      </c>
      <c r="C380" s="10" t="s">
        <v>1517</v>
      </c>
      <c r="D380" s="10" t="s">
        <v>461</v>
      </c>
      <c r="E380" s="10" t="s">
        <v>77</v>
      </c>
      <c r="F380" s="10" t="n">
        <v>14</v>
      </c>
      <c r="G380" s="10" t="s">
        <v>1518</v>
      </c>
      <c r="H380" s="10" t="n">
        <v>4</v>
      </c>
      <c r="I380" s="10" t="n">
        <v>2</v>
      </c>
      <c r="J380" s="10" t="n">
        <v>4</v>
      </c>
      <c r="K380" s="10" t="n">
        <v>96</v>
      </c>
      <c r="L380" s="10" t="n">
        <v>100</v>
      </c>
      <c r="M380" s="10" t="n">
        <v>180</v>
      </c>
    </row>
    <row r="381" customFormat="false" ht="15" hidden="false" customHeight="false" outlineLevel="0" collapsed="false">
      <c r="A381" s="10" t="s">
        <v>1519</v>
      </c>
      <c r="B381" s="10" t="s">
        <v>395</v>
      </c>
      <c r="C381" s="10" t="s">
        <v>1520</v>
      </c>
      <c r="D381" s="10" t="s">
        <v>499</v>
      </c>
      <c r="E381" s="10" t="s">
        <v>184</v>
      </c>
      <c r="F381" s="10" t="n">
        <v>13</v>
      </c>
      <c r="G381" s="10" t="s">
        <v>1521</v>
      </c>
      <c r="H381" s="10" t="n">
        <v>4</v>
      </c>
      <c r="I381" s="10" t="n">
        <v>2</v>
      </c>
      <c r="J381" s="10" t="n">
        <v>6</v>
      </c>
      <c r="K381" s="10" t="n">
        <v>96</v>
      </c>
      <c r="L381" s="10" t="n">
        <v>100</v>
      </c>
      <c r="M381" s="10" t="n">
        <v>218</v>
      </c>
    </row>
    <row r="382" customFormat="false" ht="15" hidden="false" customHeight="false" outlineLevel="0" collapsed="false">
      <c r="A382" s="10" t="s">
        <v>1522</v>
      </c>
      <c r="B382" s="10" t="s">
        <v>395</v>
      </c>
      <c r="C382" s="10" t="s">
        <v>1523</v>
      </c>
      <c r="D382" s="10" t="s">
        <v>499</v>
      </c>
      <c r="E382" s="10" t="s">
        <v>184</v>
      </c>
      <c r="F382" s="10" t="n">
        <v>13</v>
      </c>
      <c r="G382" s="10" t="s">
        <v>1524</v>
      </c>
      <c r="H382" s="10" t="n">
        <v>4</v>
      </c>
      <c r="I382" s="10" t="n">
        <v>2</v>
      </c>
      <c r="J382" s="10" t="n">
        <v>6</v>
      </c>
      <c r="K382" s="10" t="n">
        <v>96</v>
      </c>
      <c r="L382" s="10" t="n">
        <v>100</v>
      </c>
      <c r="M382" s="10" t="n">
        <v>186</v>
      </c>
    </row>
    <row r="383" customFormat="false" ht="15" hidden="false" customHeight="false" outlineLevel="0" collapsed="false">
      <c r="A383" s="10" t="s">
        <v>1525</v>
      </c>
      <c r="B383" s="10" t="s">
        <v>395</v>
      </c>
      <c r="C383" s="10" t="s">
        <v>1526</v>
      </c>
      <c r="D383" s="10" t="s">
        <v>499</v>
      </c>
      <c r="E383" s="10" t="s">
        <v>184</v>
      </c>
      <c r="F383" s="10" t="n">
        <v>13</v>
      </c>
      <c r="G383" s="10" t="s">
        <v>1527</v>
      </c>
      <c r="H383" s="10" t="n">
        <v>4</v>
      </c>
      <c r="I383" s="10" t="n">
        <v>2</v>
      </c>
      <c r="J383" s="10" t="n">
        <v>6</v>
      </c>
      <c r="K383" s="10" t="n">
        <v>97</v>
      </c>
      <c r="L383" s="10" t="n">
        <v>100</v>
      </c>
      <c r="M383" s="10" t="n">
        <v>242</v>
      </c>
    </row>
    <row r="384" customFormat="false" ht="15" hidden="false" customHeight="false" outlineLevel="0" collapsed="false">
      <c r="A384" s="10" t="s">
        <v>1528</v>
      </c>
      <c r="B384" s="10" t="s">
        <v>395</v>
      </c>
      <c r="C384" s="10" t="s">
        <v>1529</v>
      </c>
      <c r="D384" s="10" t="s">
        <v>499</v>
      </c>
      <c r="E384" s="10" t="s">
        <v>184</v>
      </c>
      <c r="F384" s="10" t="n">
        <v>13</v>
      </c>
      <c r="G384" s="10" t="s">
        <v>1530</v>
      </c>
      <c r="H384" s="10" t="n">
        <v>4</v>
      </c>
      <c r="I384" s="10" t="n">
        <v>2</v>
      </c>
      <c r="J384" s="10" t="n">
        <v>6</v>
      </c>
      <c r="K384" s="10" t="n">
        <v>96</v>
      </c>
      <c r="L384" s="10" t="n">
        <v>100</v>
      </c>
      <c r="M384" s="10" t="n">
        <v>203</v>
      </c>
    </row>
    <row r="385" customFormat="false" ht="15" hidden="false" customHeight="false" outlineLevel="0" collapsed="false">
      <c r="A385" s="10" t="s">
        <v>1531</v>
      </c>
      <c r="B385" s="10" t="s">
        <v>395</v>
      </c>
      <c r="C385" s="10" t="s">
        <v>1532</v>
      </c>
      <c r="D385" s="10" t="s">
        <v>499</v>
      </c>
      <c r="E385" s="10" t="s">
        <v>184</v>
      </c>
      <c r="F385" s="10" t="n">
        <v>13</v>
      </c>
      <c r="G385" s="10" t="s">
        <v>1533</v>
      </c>
      <c r="H385" s="10" t="n">
        <v>4</v>
      </c>
      <c r="I385" s="10" t="n">
        <v>2</v>
      </c>
      <c r="J385" s="10" t="n">
        <v>6</v>
      </c>
      <c r="K385" s="10" t="n">
        <v>97</v>
      </c>
      <c r="L385" s="10" t="n">
        <v>100</v>
      </c>
      <c r="M385" s="10" t="n">
        <v>218</v>
      </c>
    </row>
    <row r="386" customFormat="false" ht="15" hidden="false" customHeight="false" outlineLevel="0" collapsed="false">
      <c r="A386" s="10" t="s">
        <v>1534</v>
      </c>
      <c r="B386" s="10" t="s">
        <v>395</v>
      </c>
      <c r="C386" s="10" t="s">
        <v>1535</v>
      </c>
      <c r="D386" s="10" t="s">
        <v>499</v>
      </c>
      <c r="E386" s="10" t="s">
        <v>184</v>
      </c>
      <c r="F386" s="10" t="n">
        <v>13</v>
      </c>
      <c r="G386" s="10" t="s">
        <v>1536</v>
      </c>
      <c r="H386" s="10" t="n">
        <v>4</v>
      </c>
      <c r="I386" s="10" t="n">
        <v>2</v>
      </c>
      <c r="J386" s="10" t="n">
        <v>5</v>
      </c>
      <c r="K386" s="10" t="n">
        <v>96</v>
      </c>
      <c r="L386" s="10" t="n">
        <v>100</v>
      </c>
      <c r="M386" s="10" t="n">
        <v>188</v>
      </c>
    </row>
    <row r="387" customFormat="false" ht="15" hidden="false" customHeight="false" outlineLevel="0" collapsed="false">
      <c r="A387" s="10" t="s">
        <v>1537</v>
      </c>
      <c r="B387" s="10" t="s">
        <v>395</v>
      </c>
      <c r="C387" s="10" t="s">
        <v>1538</v>
      </c>
      <c r="D387" s="10" t="s">
        <v>499</v>
      </c>
      <c r="E387" s="10" t="s">
        <v>184</v>
      </c>
      <c r="F387" s="10" t="n">
        <v>14</v>
      </c>
      <c r="G387" s="10" t="s">
        <v>1539</v>
      </c>
      <c r="H387" s="10" t="n">
        <v>4</v>
      </c>
      <c r="I387" s="10" t="n">
        <v>2</v>
      </c>
      <c r="J387" s="10" t="n">
        <v>6</v>
      </c>
      <c r="K387" s="10" t="n">
        <v>97</v>
      </c>
      <c r="L387" s="10" t="n">
        <v>100</v>
      </c>
      <c r="M387" s="10" t="n">
        <v>182</v>
      </c>
    </row>
    <row r="388" customFormat="false" ht="15" hidden="false" customHeight="false" outlineLevel="0" collapsed="false">
      <c r="A388" s="10" t="s">
        <v>1540</v>
      </c>
      <c r="B388" s="10" t="s">
        <v>395</v>
      </c>
      <c r="C388" s="10" t="s">
        <v>1541</v>
      </c>
      <c r="D388" s="10" t="s">
        <v>499</v>
      </c>
      <c r="E388" s="10" t="s">
        <v>184</v>
      </c>
      <c r="F388" s="10" t="n">
        <v>13</v>
      </c>
      <c r="G388" s="10" t="s">
        <v>1542</v>
      </c>
      <c r="H388" s="10" t="n">
        <v>4</v>
      </c>
      <c r="I388" s="10" t="n">
        <v>2</v>
      </c>
      <c r="J388" s="10" t="n">
        <v>6</v>
      </c>
      <c r="K388" s="10" t="n">
        <v>97</v>
      </c>
      <c r="L388" s="10" t="n">
        <v>100</v>
      </c>
      <c r="M388" s="10" t="n">
        <v>187</v>
      </c>
    </row>
    <row r="389" customFormat="false" ht="15" hidden="false" customHeight="false" outlineLevel="0" collapsed="false">
      <c r="A389" s="10" t="s">
        <v>1543</v>
      </c>
      <c r="B389" s="10" t="s">
        <v>395</v>
      </c>
      <c r="C389" s="10" t="s">
        <v>1544</v>
      </c>
      <c r="D389" s="10" t="s">
        <v>413</v>
      </c>
      <c r="E389" s="10" t="s">
        <v>152</v>
      </c>
      <c r="F389" s="10" t="n">
        <v>13</v>
      </c>
      <c r="G389" s="10" t="s">
        <v>1545</v>
      </c>
      <c r="H389" s="10" t="n">
        <v>4</v>
      </c>
      <c r="I389" s="10" t="n">
        <v>2</v>
      </c>
      <c r="J389" s="10" t="n">
        <v>4</v>
      </c>
      <c r="K389" s="10" t="n">
        <v>97</v>
      </c>
      <c r="L389" s="10" t="n">
        <v>100</v>
      </c>
      <c r="M389" s="10" t="n">
        <v>155</v>
      </c>
    </row>
    <row r="390" customFormat="false" ht="15" hidden="false" customHeight="false" outlineLevel="0" collapsed="false">
      <c r="A390" s="10" t="s">
        <v>1546</v>
      </c>
      <c r="B390" s="10" t="s">
        <v>395</v>
      </c>
      <c r="C390" s="10" t="s">
        <v>1547</v>
      </c>
      <c r="D390" s="10" t="s">
        <v>401</v>
      </c>
      <c r="E390" s="10" t="s">
        <v>196</v>
      </c>
      <c r="F390" s="10" t="n">
        <v>12</v>
      </c>
      <c r="G390" s="10" t="s">
        <v>1548</v>
      </c>
      <c r="H390" s="10" t="n">
        <v>4</v>
      </c>
      <c r="I390" s="10" t="n">
        <v>2</v>
      </c>
      <c r="J390" s="10" t="n">
        <v>2</v>
      </c>
      <c r="K390" s="10" t="n">
        <v>90</v>
      </c>
      <c r="L390" s="10" t="n">
        <v>50</v>
      </c>
      <c r="M390" s="10" t="n">
        <v>246</v>
      </c>
    </row>
    <row r="391" customFormat="false" ht="15" hidden="false" customHeight="false" outlineLevel="0" collapsed="false">
      <c r="A391" s="10" t="s">
        <v>1549</v>
      </c>
      <c r="B391" s="10" t="s">
        <v>395</v>
      </c>
      <c r="C391" s="10" t="s">
        <v>1550</v>
      </c>
      <c r="D391" s="10" t="s">
        <v>683</v>
      </c>
      <c r="E391" s="10" t="s">
        <v>271</v>
      </c>
      <c r="F391" s="10" t="n">
        <v>14</v>
      </c>
      <c r="G391" s="10" t="s">
        <v>1551</v>
      </c>
      <c r="H391" s="10" t="n">
        <v>4</v>
      </c>
      <c r="I391" s="10" t="n">
        <v>2</v>
      </c>
      <c r="J391" s="10" t="n">
        <v>6</v>
      </c>
      <c r="K391" s="10" t="n">
        <v>95</v>
      </c>
      <c r="L391" s="10" t="n">
        <v>100</v>
      </c>
      <c r="M391" s="10" t="n">
        <v>171</v>
      </c>
    </row>
    <row r="392" customFormat="false" ht="15" hidden="false" customHeight="false" outlineLevel="0" collapsed="false">
      <c r="A392" s="10" t="s">
        <v>1552</v>
      </c>
      <c r="B392" s="10" t="s">
        <v>395</v>
      </c>
      <c r="C392" s="10" t="s">
        <v>1553</v>
      </c>
      <c r="D392" s="10" t="s">
        <v>683</v>
      </c>
      <c r="E392" s="10" t="s">
        <v>271</v>
      </c>
      <c r="F392" s="10" t="n">
        <v>14</v>
      </c>
      <c r="G392" s="10" t="s">
        <v>1473</v>
      </c>
      <c r="H392" s="10" t="n">
        <v>4</v>
      </c>
      <c r="I392" s="10" t="n">
        <v>2</v>
      </c>
      <c r="J392" s="10" t="n">
        <v>6</v>
      </c>
      <c r="K392" s="10" t="n">
        <v>95</v>
      </c>
      <c r="L392" s="10" t="n">
        <v>100</v>
      </c>
      <c r="M392" s="10" t="n">
        <v>265</v>
      </c>
    </row>
    <row r="393" customFormat="false" ht="15" hidden="false" customHeight="false" outlineLevel="0" collapsed="false">
      <c r="A393" s="10" t="s">
        <v>1554</v>
      </c>
      <c r="B393" s="10" t="s">
        <v>395</v>
      </c>
      <c r="C393" s="10" t="s">
        <v>1555</v>
      </c>
      <c r="D393" s="10" t="s">
        <v>683</v>
      </c>
      <c r="E393" s="10" t="s">
        <v>271</v>
      </c>
      <c r="F393" s="10" t="n">
        <v>15</v>
      </c>
      <c r="G393" s="10" t="s">
        <v>484</v>
      </c>
      <c r="H393" s="10" t="n">
        <v>4</v>
      </c>
      <c r="I393" s="10" t="n">
        <v>2</v>
      </c>
      <c r="J393" s="10" t="n">
        <v>6</v>
      </c>
      <c r="K393" s="10" t="n">
        <v>94</v>
      </c>
      <c r="L393" s="10" t="n">
        <v>100</v>
      </c>
      <c r="M393" s="10" t="n">
        <v>210</v>
      </c>
    </row>
    <row r="394" customFormat="false" ht="15" hidden="false" customHeight="false" outlineLevel="0" collapsed="false">
      <c r="A394" s="10" t="s">
        <v>1556</v>
      </c>
      <c r="B394" s="10" t="s">
        <v>395</v>
      </c>
      <c r="C394" s="10" t="s">
        <v>1557</v>
      </c>
      <c r="D394" s="10" t="s">
        <v>683</v>
      </c>
      <c r="E394" s="10" t="s">
        <v>271</v>
      </c>
      <c r="F394" s="10" t="n">
        <v>14</v>
      </c>
      <c r="G394" s="10" t="s">
        <v>1558</v>
      </c>
      <c r="H394" s="10" t="n">
        <v>4</v>
      </c>
      <c r="I394" s="10" t="n">
        <v>2</v>
      </c>
      <c r="J394" s="10" t="n">
        <v>6</v>
      </c>
      <c r="K394" s="10" t="n">
        <v>95</v>
      </c>
      <c r="L394" s="10" t="n">
        <v>100</v>
      </c>
      <c r="M394" s="10" t="n">
        <v>176</v>
      </c>
    </row>
    <row r="395" customFormat="false" ht="15" hidden="false" customHeight="false" outlineLevel="0" collapsed="false">
      <c r="A395" s="10" t="s">
        <v>1559</v>
      </c>
      <c r="B395" s="10" t="s">
        <v>395</v>
      </c>
      <c r="C395" s="10" t="s">
        <v>1560</v>
      </c>
      <c r="D395" s="10" t="s">
        <v>683</v>
      </c>
      <c r="E395" s="10" t="s">
        <v>271</v>
      </c>
      <c r="F395" s="10" t="n">
        <v>14</v>
      </c>
      <c r="G395" s="10" t="s">
        <v>963</v>
      </c>
      <c r="H395" s="10" t="n">
        <v>4</v>
      </c>
      <c r="I395" s="10" t="n">
        <v>2</v>
      </c>
      <c r="J395" s="10" t="n">
        <v>6</v>
      </c>
      <c r="K395" s="10" t="n">
        <v>95</v>
      </c>
      <c r="L395" s="10" t="n">
        <v>100</v>
      </c>
      <c r="M395" s="10" t="n">
        <v>255</v>
      </c>
    </row>
    <row r="396" customFormat="false" ht="15" hidden="false" customHeight="false" outlineLevel="0" collapsed="false">
      <c r="A396" s="10" t="s">
        <v>1561</v>
      </c>
      <c r="B396" s="10" t="s">
        <v>395</v>
      </c>
      <c r="C396" s="10" t="s">
        <v>1562</v>
      </c>
      <c r="D396" s="10" t="s">
        <v>683</v>
      </c>
      <c r="E396" s="10" t="s">
        <v>271</v>
      </c>
      <c r="F396" s="10" t="n">
        <v>14</v>
      </c>
      <c r="G396" s="10" t="s">
        <v>1473</v>
      </c>
      <c r="H396" s="10" t="n">
        <v>4</v>
      </c>
      <c r="I396" s="10" t="n">
        <v>2</v>
      </c>
      <c r="J396" s="10" t="n">
        <v>6</v>
      </c>
      <c r="K396" s="10" t="n">
        <v>95</v>
      </c>
      <c r="L396" s="10" t="n">
        <v>100</v>
      </c>
      <c r="M396" s="10" t="n">
        <v>203</v>
      </c>
    </row>
    <row r="397" customFormat="false" ht="15" hidden="false" customHeight="false" outlineLevel="0" collapsed="false">
      <c r="A397" s="10" t="s">
        <v>1563</v>
      </c>
      <c r="B397" s="10" t="s">
        <v>395</v>
      </c>
      <c r="C397" s="10" t="s">
        <v>1564</v>
      </c>
      <c r="D397" s="10" t="s">
        <v>683</v>
      </c>
      <c r="E397" s="10" t="s">
        <v>271</v>
      </c>
      <c r="F397" s="10" t="n">
        <v>14</v>
      </c>
      <c r="G397" s="10" t="s">
        <v>1565</v>
      </c>
      <c r="H397" s="10" t="n">
        <v>4</v>
      </c>
      <c r="I397" s="10" t="n">
        <v>2</v>
      </c>
      <c r="J397" s="10" t="n">
        <v>6</v>
      </c>
      <c r="K397" s="10" t="n">
        <v>95</v>
      </c>
      <c r="L397" s="10" t="n">
        <v>100</v>
      </c>
      <c r="M397" s="10" t="n">
        <v>251</v>
      </c>
    </row>
    <row r="398" customFormat="false" ht="15" hidden="false" customHeight="false" outlineLevel="0" collapsed="false">
      <c r="A398" s="10" t="s">
        <v>1566</v>
      </c>
      <c r="B398" s="10" t="s">
        <v>395</v>
      </c>
      <c r="C398" s="10" t="s">
        <v>1567</v>
      </c>
      <c r="D398" s="10" t="s">
        <v>683</v>
      </c>
      <c r="E398" s="10" t="s">
        <v>271</v>
      </c>
      <c r="F398" s="10" t="n">
        <v>14</v>
      </c>
      <c r="G398" s="10" t="s">
        <v>1473</v>
      </c>
      <c r="H398" s="10" t="n">
        <v>4</v>
      </c>
      <c r="I398" s="10" t="n">
        <v>2</v>
      </c>
      <c r="J398" s="10" t="n">
        <v>6</v>
      </c>
      <c r="K398" s="10" t="n">
        <v>95</v>
      </c>
      <c r="L398" s="10" t="n">
        <v>100</v>
      </c>
      <c r="M398" s="10" t="n">
        <v>190</v>
      </c>
    </row>
    <row r="399" customFormat="false" ht="15" hidden="false" customHeight="false" outlineLevel="0" collapsed="false">
      <c r="A399" s="10" t="s">
        <v>1568</v>
      </c>
      <c r="B399" s="10" t="s">
        <v>395</v>
      </c>
      <c r="C399" s="10" t="s">
        <v>1569</v>
      </c>
      <c r="D399" s="10" t="s">
        <v>417</v>
      </c>
      <c r="E399" s="10" t="s">
        <v>247</v>
      </c>
      <c r="F399" s="10" t="n">
        <v>12</v>
      </c>
      <c r="G399" s="10" t="s">
        <v>1570</v>
      </c>
      <c r="H399" s="10" t="n">
        <v>4</v>
      </c>
      <c r="I399" s="10" t="n">
        <v>2</v>
      </c>
      <c r="J399" s="10" t="n">
        <v>6</v>
      </c>
      <c r="K399" s="10" t="n">
        <v>98</v>
      </c>
      <c r="L399" s="10" t="n">
        <v>100</v>
      </c>
      <c r="M399" s="10" t="n">
        <v>164</v>
      </c>
    </row>
    <row r="400" customFormat="false" ht="15" hidden="false" customHeight="false" outlineLevel="0" collapsed="false">
      <c r="A400" s="10" t="s">
        <v>1571</v>
      </c>
      <c r="B400" s="10" t="s">
        <v>395</v>
      </c>
      <c r="C400" s="10" t="s">
        <v>1572</v>
      </c>
      <c r="D400" s="10" t="s">
        <v>413</v>
      </c>
      <c r="E400" s="10" t="s">
        <v>152</v>
      </c>
      <c r="F400" s="10" t="n">
        <v>13</v>
      </c>
      <c r="G400" s="10" t="s">
        <v>1573</v>
      </c>
      <c r="H400" s="10" t="n">
        <v>4</v>
      </c>
      <c r="I400" s="10" t="n">
        <v>2</v>
      </c>
      <c r="J400" s="10" t="n">
        <v>5</v>
      </c>
      <c r="K400" s="10" t="n">
        <v>97</v>
      </c>
      <c r="L400" s="10" t="n">
        <v>100</v>
      </c>
      <c r="M400" s="10" t="n">
        <v>166</v>
      </c>
    </row>
    <row r="401" customFormat="false" ht="15" hidden="false" customHeight="false" outlineLevel="0" collapsed="false">
      <c r="A401" s="10" t="s">
        <v>1574</v>
      </c>
      <c r="B401" s="10" t="s">
        <v>395</v>
      </c>
      <c r="C401" s="10" t="s">
        <v>1575</v>
      </c>
      <c r="D401" s="10" t="s">
        <v>683</v>
      </c>
      <c r="E401" s="10" t="s">
        <v>220</v>
      </c>
      <c r="F401" s="10" t="n">
        <v>14</v>
      </c>
      <c r="G401" s="10" t="s">
        <v>629</v>
      </c>
      <c r="H401" s="10" t="n">
        <v>4</v>
      </c>
      <c r="I401" s="10" t="n">
        <v>2</v>
      </c>
      <c r="J401" s="10" t="n">
        <v>5</v>
      </c>
      <c r="K401" s="10" t="n">
        <v>96</v>
      </c>
      <c r="L401" s="10" t="n">
        <v>100</v>
      </c>
      <c r="M401" s="10" t="n">
        <v>187</v>
      </c>
    </row>
    <row r="402" customFormat="false" ht="15" hidden="false" customHeight="false" outlineLevel="0" collapsed="false">
      <c r="A402" s="10" t="s">
        <v>1576</v>
      </c>
      <c r="B402" s="10" t="s">
        <v>395</v>
      </c>
      <c r="C402" s="10" t="s">
        <v>1577</v>
      </c>
      <c r="D402" s="10" t="s">
        <v>461</v>
      </c>
      <c r="E402" s="10" t="s">
        <v>129</v>
      </c>
      <c r="F402" s="10" t="n">
        <v>14</v>
      </c>
      <c r="G402" s="10" t="s">
        <v>623</v>
      </c>
      <c r="H402" s="10" t="n">
        <v>4</v>
      </c>
      <c r="I402" s="10" t="n">
        <v>2</v>
      </c>
      <c r="J402" s="10" t="n">
        <v>5</v>
      </c>
      <c r="K402" s="10" t="n">
        <v>96</v>
      </c>
      <c r="L402" s="10" t="n">
        <v>100</v>
      </c>
      <c r="M402" s="10" t="n">
        <v>169</v>
      </c>
    </row>
    <row r="403" customFormat="false" ht="15" hidden="false" customHeight="false" outlineLevel="0" collapsed="false">
      <c r="A403" s="10" t="s">
        <v>1578</v>
      </c>
      <c r="B403" s="10" t="s">
        <v>395</v>
      </c>
      <c r="C403" s="10" t="s">
        <v>1579</v>
      </c>
      <c r="D403" s="10" t="s">
        <v>461</v>
      </c>
      <c r="E403" s="10" t="s">
        <v>129</v>
      </c>
      <c r="F403" s="10" t="n">
        <v>14</v>
      </c>
      <c r="G403" s="10" t="s">
        <v>1580</v>
      </c>
      <c r="H403" s="10" t="n">
        <v>4</v>
      </c>
      <c r="I403" s="10" t="n">
        <v>2</v>
      </c>
      <c r="J403" s="10" t="n">
        <v>5</v>
      </c>
      <c r="K403" s="10" t="n">
        <v>98</v>
      </c>
      <c r="L403" s="10" t="n">
        <v>100</v>
      </c>
      <c r="M403" s="10" t="n">
        <v>186</v>
      </c>
    </row>
    <row r="404" customFormat="false" ht="15" hidden="false" customHeight="false" outlineLevel="0" collapsed="false">
      <c r="A404" s="10" t="s">
        <v>1581</v>
      </c>
      <c r="B404" s="10" t="s">
        <v>395</v>
      </c>
      <c r="C404" s="10" t="s">
        <v>1582</v>
      </c>
      <c r="D404" s="10" t="s">
        <v>405</v>
      </c>
      <c r="E404" s="10" t="s">
        <v>226</v>
      </c>
      <c r="F404" s="10" t="n">
        <v>14</v>
      </c>
      <c r="G404" s="10" t="s">
        <v>1583</v>
      </c>
      <c r="H404" s="10" t="n">
        <v>4</v>
      </c>
      <c r="I404" s="10" t="n">
        <v>2</v>
      </c>
      <c r="J404" s="10" t="n">
        <v>5</v>
      </c>
      <c r="K404" s="10" t="n">
        <v>96</v>
      </c>
      <c r="L404" s="10" t="n">
        <v>100</v>
      </c>
      <c r="M404" s="10" t="n">
        <v>164</v>
      </c>
    </row>
    <row r="405" customFormat="false" ht="15" hidden="false" customHeight="false" outlineLevel="0" collapsed="false">
      <c r="A405" s="10" t="s">
        <v>1584</v>
      </c>
      <c r="B405" s="10" t="s">
        <v>395</v>
      </c>
      <c r="C405" s="10" t="s">
        <v>1585</v>
      </c>
      <c r="D405" s="10" t="s">
        <v>413</v>
      </c>
      <c r="E405" s="10" t="s">
        <v>152</v>
      </c>
      <c r="F405" s="10" t="n">
        <v>13</v>
      </c>
      <c r="G405" s="10" t="s">
        <v>1586</v>
      </c>
      <c r="H405" s="10" t="n">
        <v>4</v>
      </c>
      <c r="I405" s="10" t="n">
        <v>2</v>
      </c>
      <c r="J405" s="10" t="n">
        <v>5</v>
      </c>
      <c r="K405" s="10" t="n">
        <v>98</v>
      </c>
      <c r="L405" s="10" t="n">
        <v>100</v>
      </c>
      <c r="M405" s="10" t="n">
        <v>165</v>
      </c>
    </row>
    <row r="406" customFormat="false" ht="15" hidden="false" customHeight="false" outlineLevel="0" collapsed="false">
      <c r="A406" s="10" t="s">
        <v>1587</v>
      </c>
      <c r="B406" s="10" t="s">
        <v>395</v>
      </c>
      <c r="C406" s="10" t="s">
        <v>1588</v>
      </c>
      <c r="D406" s="10" t="s">
        <v>413</v>
      </c>
      <c r="E406" s="10" t="s">
        <v>158</v>
      </c>
      <c r="F406" s="10" t="n">
        <v>14</v>
      </c>
      <c r="G406" s="10" t="s">
        <v>1589</v>
      </c>
      <c r="H406" s="10" t="n">
        <v>4</v>
      </c>
      <c r="I406" s="10" t="n">
        <v>2</v>
      </c>
      <c r="J406" s="10" t="n">
        <v>6</v>
      </c>
      <c r="K406" s="10" t="n">
        <v>98</v>
      </c>
      <c r="L406" s="10" t="n">
        <v>100</v>
      </c>
      <c r="M406" s="10" t="n">
        <v>268</v>
      </c>
    </row>
    <row r="407" customFormat="false" ht="15" hidden="false" customHeight="false" outlineLevel="0" collapsed="false">
      <c r="A407" s="10" t="s">
        <v>1590</v>
      </c>
      <c r="B407" s="10" t="s">
        <v>395</v>
      </c>
      <c r="C407" s="10" t="s">
        <v>1591</v>
      </c>
      <c r="D407" s="10" t="s">
        <v>413</v>
      </c>
      <c r="E407" s="10" t="s">
        <v>158</v>
      </c>
      <c r="F407" s="10" t="n">
        <v>14</v>
      </c>
      <c r="G407" s="10" t="s">
        <v>1592</v>
      </c>
      <c r="H407" s="10" t="n">
        <v>4</v>
      </c>
      <c r="I407" s="10" t="n">
        <v>2</v>
      </c>
      <c r="J407" s="10" t="n">
        <v>7</v>
      </c>
      <c r="K407" s="10" t="n">
        <v>98</v>
      </c>
      <c r="L407" s="10" t="n">
        <v>100</v>
      </c>
      <c r="M407" s="10" t="n">
        <v>274</v>
      </c>
    </row>
    <row r="408" customFormat="false" ht="15" hidden="false" customHeight="false" outlineLevel="0" collapsed="false">
      <c r="A408" s="10" t="s">
        <v>1593</v>
      </c>
      <c r="B408" s="10" t="s">
        <v>395</v>
      </c>
      <c r="C408" s="10" t="s">
        <v>1594</v>
      </c>
      <c r="D408" s="10" t="s">
        <v>405</v>
      </c>
      <c r="E408" s="10" t="s">
        <v>226</v>
      </c>
      <c r="F408" s="10" t="n">
        <v>14</v>
      </c>
      <c r="G408" s="10" t="s">
        <v>1595</v>
      </c>
      <c r="H408" s="10" t="n">
        <v>4</v>
      </c>
      <c r="I408" s="10" t="n">
        <v>2</v>
      </c>
      <c r="J408" s="10" t="n">
        <v>5</v>
      </c>
      <c r="K408" s="10" t="n">
        <v>94</v>
      </c>
      <c r="L408" s="10" t="n">
        <v>80</v>
      </c>
      <c r="M408" s="10" t="n">
        <v>161</v>
      </c>
    </row>
    <row r="409" customFormat="false" ht="15" hidden="false" customHeight="false" outlineLevel="0" collapsed="false">
      <c r="A409" s="10" t="s">
        <v>1596</v>
      </c>
      <c r="B409" s="10" t="s">
        <v>395</v>
      </c>
      <c r="C409" s="10" t="s">
        <v>1597</v>
      </c>
      <c r="D409" s="10" t="s">
        <v>397</v>
      </c>
      <c r="E409" s="10" t="s">
        <v>139</v>
      </c>
      <c r="F409" s="10" t="n">
        <v>13</v>
      </c>
      <c r="G409" s="10" t="s">
        <v>1598</v>
      </c>
      <c r="H409" s="10" t="n">
        <v>4</v>
      </c>
      <c r="I409" s="10" t="n">
        <v>2</v>
      </c>
      <c r="J409" s="10" t="n">
        <v>8</v>
      </c>
      <c r="K409" s="10" t="n">
        <v>96</v>
      </c>
      <c r="L409" s="10" t="n">
        <v>88</v>
      </c>
      <c r="M409" s="10" t="n">
        <v>250</v>
      </c>
    </row>
    <row r="410" customFormat="false" ht="15" hidden="false" customHeight="false" outlineLevel="0" collapsed="false">
      <c r="A410" s="10" t="s">
        <v>1599</v>
      </c>
      <c r="B410" s="10" t="s">
        <v>395</v>
      </c>
      <c r="C410" s="10" t="s">
        <v>1600</v>
      </c>
      <c r="D410" s="10" t="s">
        <v>401</v>
      </c>
      <c r="E410" s="10" t="s">
        <v>196</v>
      </c>
      <c r="F410" s="10" t="n">
        <v>13</v>
      </c>
      <c r="G410" s="10" t="s">
        <v>1601</v>
      </c>
      <c r="H410" s="10" t="n">
        <v>4</v>
      </c>
      <c r="I410" s="10" t="n">
        <v>2</v>
      </c>
      <c r="J410" s="10" t="n">
        <v>4</v>
      </c>
      <c r="K410" s="10" t="n">
        <v>93</v>
      </c>
      <c r="L410" s="10" t="n">
        <v>75</v>
      </c>
      <c r="M410" s="10" t="n">
        <v>193</v>
      </c>
    </row>
    <row r="411" customFormat="false" ht="15" hidden="false" customHeight="false" outlineLevel="0" collapsed="false">
      <c r="A411" s="10" t="s">
        <v>1602</v>
      </c>
      <c r="B411" s="10" t="s">
        <v>395</v>
      </c>
      <c r="C411" s="10" t="s">
        <v>1603</v>
      </c>
      <c r="D411" s="10" t="s">
        <v>413</v>
      </c>
      <c r="E411" s="10" t="s">
        <v>1604</v>
      </c>
      <c r="F411" s="10" t="n">
        <v>13</v>
      </c>
      <c r="G411" s="10" t="s">
        <v>1605</v>
      </c>
      <c r="H411" s="10" t="n">
        <v>4</v>
      </c>
      <c r="I411" s="10" t="n">
        <v>2</v>
      </c>
      <c r="J411" s="10" t="n">
        <v>7</v>
      </c>
      <c r="K411" s="10" t="n">
        <v>97</v>
      </c>
      <c r="L411" s="10" t="n">
        <v>100</v>
      </c>
      <c r="M411" s="10" t="n">
        <v>139</v>
      </c>
    </row>
    <row r="412" customFormat="false" ht="15" hidden="false" customHeight="false" outlineLevel="0" collapsed="false">
      <c r="A412" s="10" t="s">
        <v>1606</v>
      </c>
      <c r="B412" s="10" t="s">
        <v>395</v>
      </c>
      <c r="C412" s="10" t="s">
        <v>1607</v>
      </c>
      <c r="D412" s="10" t="s">
        <v>433</v>
      </c>
      <c r="E412" s="10" t="s">
        <v>191</v>
      </c>
      <c r="F412" s="10" t="n">
        <v>13</v>
      </c>
      <c r="G412" s="10" t="s">
        <v>1608</v>
      </c>
      <c r="H412" s="10" t="n">
        <v>4</v>
      </c>
      <c r="I412" s="10" t="n">
        <v>2</v>
      </c>
      <c r="J412" s="10" t="n">
        <v>4</v>
      </c>
      <c r="K412" s="10" t="n">
        <v>94</v>
      </c>
      <c r="L412" s="10" t="n">
        <v>100</v>
      </c>
      <c r="M412" s="10" t="n">
        <v>186</v>
      </c>
    </row>
    <row r="413" customFormat="false" ht="15" hidden="false" customHeight="false" outlineLevel="0" collapsed="false">
      <c r="A413" s="10" t="s">
        <v>1609</v>
      </c>
      <c r="B413" s="10" t="s">
        <v>395</v>
      </c>
      <c r="C413" s="10" t="s">
        <v>1610</v>
      </c>
      <c r="D413" s="10" t="s">
        <v>440</v>
      </c>
      <c r="E413" s="10" t="s">
        <v>203</v>
      </c>
      <c r="F413" s="10" t="n">
        <v>12</v>
      </c>
      <c r="G413" s="10" t="s">
        <v>1611</v>
      </c>
      <c r="H413" s="10" t="n">
        <v>4</v>
      </c>
      <c r="I413" s="10" t="n">
        <v>2</v>
      </c>
      <c r="J413" s="10" t="n">
        <v>3</v>
      </c>
      <c r="K413" s="10" t="n">
        <v>98</v>
      </c>
      <c r="L413" s="10" t="n">
        <v>100</v>
      </c>
      <c r="M413" s="10" t="n">
        <v>205</v>
      </c>
    </row>
    <row r="414" customFormat="false" ht="15" hidden="false" customHeight="false" outlineLevel="0" collapsed="false">
      <c r="A414" s="10" t="s">
        <v>1612</v>
      </c>
      <c r="B414" s="10" t="s">
        <v>395</v>
      </c>
      <c r="C414" s="10" t="s">
        <v>1613</v>
      </c>
      <c r="D414" s="10" t="s">
        <v>401</v>
      </c>
      <c r="E414" s="10" t="s">
        <v>454</v>
      </c>
      <c r="F414" s="10" t="n">
        <v>13</v>
      </c>
      <c r="G414" s="10" t="s">
        <v>1614</v>
      </c>
      <c r="H414" s="10" t="n">
        <v>4</v>
      </c>
      <c r="I414" s="10" t="n">
        <v>2</v>
      </c>
      <c r="J414" s="10" t="n">
        <v>5</v>
      </c>
      <c r="K414" s="10" t="n">
        <v>97</v>
      </c>
      <c r="L414" s="10" t="n">
        <v>100</v>
      </c>
      <c r="M414" s="10" t="n">
        <v>185</v>
      </c>
    </row>
    <row r="415" customFormat="false" ht="15" hidden="false" customHeight="false" outlineLevel="0" collapsed="false">
      <c r="A415" s="10" t="s">
        <v>1615</v>
      </c>
      <c r="B415" s="10" t="s">
        <v>395</v>
      </c>
      <c r="C415" s="10" t="s">
        <v>1616</v>
      </c>
      <c r="D415" s="10" t="s">
        <v>461</v>
      </c>
      <c r="E415" s="10" t="s">
        <v>139</v>
      </c>
      <c r="F415" s="10" t="n">
        <v>15</v>
      </c>
      <c r="G415" s="10" t="s">
        <v>1617</v>
      </c>
      <c r="H415" s="10" t="n">
        <v>4</v>
      </c>
      <c r="I415" s="10" t="n">
        <v>2</v>
      </c>
      <c r="J415" s="10" t="n">
        <v>8</v>
      </c>
      <c r="K415" s="10" t="n">
        <v>97</v>
      </c>
      <c r="L415" s="10" t="n">
        <v>100</v>
      </c>
      <c r="M415" s="10" t="n">
        <v>218</v>
      </c>
    </row>
    <row r="416" customFormat="false" ht="15" hidden="false" customHeight="false" outlineLevel="0" collapsed="false">
      <c r="A416" s="10" t="s">
        <v>1618</v>
      </c>
      <c r="B416" s="10" t="s">
        <v>395</v>
      </c>
      <c r="C416" s="10" t="s">
        <v>1619</v>
      </c>
      <c r="D416" s="10" t="s">
        <v>413</v>
      </c>
      <c r="E416" s="10" t="s">
        <v>152</v>
      </c>
      <c r="F416" s="10" t="n">
        <v>13</v>
      </c>
      <c r="G416" s="10" t="s">
        <v>1620</v>
      </c>
      <c r="H416" s="10" t="n">
        <v>4</v>
      </c>
      <c r="I416" s="10" t="n">
        <v>2</v>
      </c>
      <c r="J416" s="10" t="n">
        <v>5</v>
      </c>
      <c r="K416" s="10" t="n">
        <v>98</v>
      </c>
      <c r="L416" s="10" t="n">
        <v>100</v>
      </c>
      <c r="M416" s="10" t="n">
        <v>163</v>
      </c>
    </row>
    <row r="417" customFormat="false" ht="15" hidden="false" customHeight="false" outlineLevel="0" collapsed="false">
      <c r="A417" s="10" t="s">
        <v>1621</v>
      </c>
      <c r="B417" s="10" t="s">
        <v>395</v>
      </c>
      <c r="C417" s="10" t="s">
        <v>1622</v>
      </c>
      <c r="D417" s="10" t="s">
        <v>413</v>
      </c>
      <c r="E417" s="10" t="s">
        <v>152</v>
      </c>
      <c r="F417" s="10" t="n">
        <v>13</v>
      </c>
      <c r="G417" s="10" t="s">
        <v>1623</v>
      </c>
      <c r="H417" s="10" t="n">
        <v>4</v>
      </c>
      <c r="I417" s="10" t="n">
        <v>2</v>
      </c>
      <c r="J417" s="10" t="n">
        <v>5</v>
      </c>
      <c r="K417" s="10" t="n">
        <v>97</v>
      </c>
      <c r="L417" s="10" t="n">
        <v>100</v>
      </c>
      <c r="M417" s="10" t="n">
        <v>135</v>
      </c>
    </row>
    <row r="418" customFormat="false" ht="15" hidden="false" customHeight="false" outlineLevel="0" collapsed="false">
      <c r="A418" s="10" t="s">
        <v>1624</v>
      </c>
      <c r="B418" s="10" t="s">
        <v>395</v>
      </c>
      <c r="C418" s="10" t="s">
        <v>1625</v>
      </c>
      <c r="D418" s="10" t="s">
        <v>499</v>
      </c>
      <c r="E418" s="10" t="s">
        <v>240</v>
      </c>
      <c r="F418" s="10" t="n">
        <v>15</v>
      </c>
      <c r="G418" s="10" t="s">
        <v>1626</v>
      </c>
      <c r="H418" s="10" t="n">
        <v>4</v>
      </c>
      <c r="I418" s="10" t="n">
        <v>2</v>
      </c>
      <c r="J418" s="10" t="n">
        <v>5</v>
      </c>
      <c r="K418" s="10" t="n">
        <v>92</v>
      </c>
      <c r="L418" s="10" t="n">
        <v>80</v>
      </c>
      <c r="M418" s="10" t="n">
        <v>254</v>
      </c>
    </row>
    <row r="419" customFormat="false" ht="15" hidden="false" customHeight="false" outlineLevel="0" collapsed="false">
      <c r="A419" s="10" t="s">
        <v>1627</v>
      </c>
      <c r="B419" s="10" t="s">
        <v>395</v>
      </c>
      <c r="C419" s="10" t="s">
        <v>1628</v>
      </c>
      <c r="D419" s="10" t="s">
        <v>450</v>
      </c>
      <c r="E419" s="10" t="s">
        <v>276</v>
      </c>
      <c r="F419" s="10" t="n">
        <v>14</v>
      </c>
      <c r="G419" s="10" t="s">
        <v>1629</v>
      </c>
      <c r="H419" s="10" t="n">
        <v>4</v>
      </c>
      <c r="I419" s="10" t="n">
        <v>2</v>
      </c>
      <c r="J419" s="10" t="n">
        <v>5</v>
      </c>
      <c r="K419" s="10" t="n">
        <v>97</v>
      </c>
      <c r="L419" s="10" t="n">
        <v>100</v>
      </c>
      <c r="M419" s="10" t="n">
        <v>161</v>
      </c>
    </row>
    <row r="420" customFormat="false" ht="15" hidden="false" customHeight="false" outlineLevel="0" collapsed="false">
      <c r="A420" s="10" t="s">
        <v>1630</v>
      </c>
      <c r="B420" s="10" t="s">
        <v>395</v>
      </c>
      <c r="C420" s="10" t="s">
        <v>1631</v>
      </c>
      <c r="D420" s="10" t="s">
        <v>450</v>
      </c>
      <c r="E420" s="10" t="s">
        <v>276</v>
      </c>
      <c r="F420" s="10" t="n">
        <v>14</v>
      </c>
      <c r="G420" s="10" t="s">
        <v>673</v>
      </c>
      <c r="H420" s="10" t="n">
        <v>4</v>
      </c>
      <c r="I420" s="10" t="n">
        <v>2</v>
      </c>
      <c r="J420" s="10" t="n">
        <v>5</v>
      </c>
      <c r="K420" s="10" t="n">
        <v>97</v>
      </c>
      <c r="L420" s="10" t="n">
        <v>100</v>
      </c>
      <c r="M420" s="10" t="n">
        <v>163</v>
      </c>
    </row>
    <row r="421" customFormat="false" ht="15" hidden="false" customHeight="false" outlineLevel="0" collapsed="false">
      <c r="A421" s="10" t="s">
        <v>1632</v>
      </c>
      <c r="B421" s="10" t="s">
        <v>395</v>
      </c>
      <c r="C421" s="10" t="s">
        <v>1633</v>
      </c>
      <c r="D421" s="10" t="s">
        <v>450</v>
      </c>
      <c r="E421" s="10" t="s">
        <v>276</v>
      </c>
      <c r="F421" s="10" t="n">
        <v>13</v>
      </c>
      <c r="G421" s="10" t="s">
        <v>1634</v>
      </c>
      <c r="H421" s="10" t="n">
        <v>4</v>
      </c>
      <c r="I421" s="10" t="n">
        <v>2</v>
      </c>
      <c r="J421" s="10" t="n">
        <v>5</v>
      </c>
      <c r="K421" s="10" t="n">
        <v>96</v>
      </c>
      <c r="L421" s="10" t="n">
        <v>100</v>
      </c>
      <c r="M421" s="10" t="n">
        <v>154</v>
      </c>
    </row>
    <row r="422" customFormat="false" ht="15" hidden="false" customHeight="false" outlineLevel="0" collapsed="false">
      <c r="A422" s="10" t="s">
        <v>1635</v>
      </c>
      <c r="B422" s="10" t="s">
        <v>395</v>
      </c>
      <c r="C422" s="10" t="s">
        <v>1636</v>
      </c>
      <c r="D422" s="10" t="s">
        <v>450</v>
      </c>
      <c r="E422" s="10" t="s">
        <v>276</v>
      </c>
      <c r="F422" s="10" t="n">
        <v>13</v>
      </c>
      <c r="G422" s="10" t="s">
        <v>1158</v>
      </c>
      <c r="H422" s="10" t="n">
        <v>4</v>
      </c>
      <c r="I422" s="10" t="n">
        <v>2</v>
      </c>
      <c r="J422" s="10" t="n">
        <v>5</v>
      </c>
      <c r="K422" s="10" t="n">
        <v>96</v>
      </c>
      <c r="L422" s="10" t="n">
        <v>100</v>
      </c>
      <c r="M422" s="10" t="n">
        <v>164</v>
      </c>
    </row>
    <row r="423" customFormat="false" ht="15" hidden="false" customHeight="false" outlineLevel="0" collapsed="false">
      <c r="A423" s="10" t="s">
        <v>1637</v>
      </c>
      <c r="B423" s="10" t="s">
        <v>395</v>
      </c>
      <c r="C423" s="10" t="s">
        <v>1638</v>
      </c>
      <c r="D423" s="10" t="s">
        <v>450</v>
      </c>
      <c r="E423" s="10" t="s">
        <v>276</v>
      </c>
      <c r="F423" s="10" t="n">
        <v>14</v>
      </c>
      <c r="G423" s="10" t="s">
        <v>1639</v>
      </c>
      <c r="H423" s="10" t="n">
        <v>4</v>
      </c>
      <c r="I423" s="10" t="n">
        <v>2</v>
      </c>
      <c r="J423" s="10" t="n">
        <v>5</v>
      </c>
      <c r="K423" s="10" t="n">
        <v>97</v>
      </c>
      <c r="L423" s="10" t="n">
        <v>100</v>
      </c>
      <c r="M423" s="10" t="n">
        <v>154</v>
      </c>
    </row>
    <row r="424" customFormat="false" ht="15" hidden="false" customHeight="false" outlineLevel="0" collapsed="false">
      <c r="A424" s="10" t="s">
        <v>1640</v>
      </c>
      <c r="B424" s="10" t="s">
        <v>395</v>
      </c>
      <c r="C424" s="10" t="s">
        <v>1641</v>
      </c>
      <c r="D424" s="10" t="s">
        <v>450</v>
      </c>
      <c r="E424" s="10" t="s">
        <v>276</v>
      </c>
      <c r="F424" s="10" t="n">
        <v>14</v>
      </c>
      <c r="G424" s="10" t="s">
        <v>1330</v>
      </c>
      <c r="H424" s="10" t="n">
        <v>4</v>
      </c>
      <c r="I424" s="10" t="n">
        <v>2</v>
      </c>
      <c r="J424" s="10" t="n">
        <v>5</v>
      </c>
      <c r="K424" s="10" t="n">
        <v>96</v>
      </c>
      <c r="L424" s="10" t="n">
        <v>100</v>
      </c>
      <c r="M424" s="10" t="n">
        <v>153</v>
      </c>
    </row>
    <row r="425" customFormat="false" ht="15" hidden="false" customHeight="false" outlineLevel="0" collapsed="false">
      <c r="A425" s="10" t="s">
        <v>1642</v>
      </c>
      <c r="B425" s="10" t="s">
        <v>395</v>
      </c>
      <c r="C425" s="10" t="s">
        <v>1643</v>
      </c>
      <c r="D425" s="10" t="s">
        <v>397</v>
      </c>
      <c r="E425" s="10" t="s">
        <v>276</v>
      </c>
      <c r="F425" s="10" t="n">
        <v>14</v>
      </c>
      <c r="G425" s="10" t="s">
        <v>1644</v>
      </c>
      <c r="H425" s="10" t="n">
        <v>4</v>
      </c>
      <c r="I425" s="10" t="n">
        <v>2</v>
      </c>
      <c r="J425" s="10" t="n">
        <v>5</v>
      </c>
      <c r="K425" s="10" t="n">
        <v>97</v>
      </c>
      <c r="L425" s="10" t="n">
        <v>100</v>
      </c>
      <c r="M425" s="10" t="n">
        <v>160</v>
      </c>
    </row>
    <row r="426" customFormat="false" ht="15" hidden="false" customHeight="false" outlineLevel="0" collapsed="false">
      <c r="A426" s="10" t="s">
        <v>1645</v>
      </c>
      <c r="B426" s="10" t="s">
        <v>395</v>
      </c>
      <c r="C426" s="10" t="s">
        <v>1646</v>
      </c>
      <c r="D426" s="10" t="s">
        <v>450</v>
      </c>
      <c r="E426" s="10" t="s">
        <v>276</v>
      </c>
      <c r="F426" s="10" t="n">
        <v>15</v>
      </c>
      <c r="G426" s="10" t="s">
        <v>1647</v>
      </c>
      <c r="H426" s="10" t="n">
        <v>4</v>
      </c>
      <c r="I426" s="10" t="n">
        <v>2</v>
      </c>
      <c r="J426" s="10" t="n">
        <v>5</v>
      </c>
      <c r="K426" s="10" t="n">
        <v>96</v>
      </c>
      <c r="L426" s="10" t="n">
        <v>100</v>
      </c>
      <c r="M426" s="10" t="n">
        <v>155</v>
      </c>
    </row>
    <row r="427" customFormat="false" ht="15" hidden="false" customHeight="false" outlineLevel="0" collapsed="false">
      <c r="A427" s="10" t="s">
        <v>1648</v>
      </c>
      <c r="B427" s="10" t="s">
        <v>395</v>
      </c>
      <c r="C427" s="10" t="s">
        <v>1649</v>
      </c>
      <c r="D427" s="10" t="s">
        <v>450</v>
      </c>
      <c r="E427" s="10" t="s">
        <v>167</v>
      </c>
      <c r="F427" s="10" t="n">
        <v>13</v>
      </c>
      <c r="G427" s="10" t="s">
        <v>1650</v>
      </c>
      <c r="H427" s="10" t="n">
        <v>4</v>
      </c>
      <c r="I427" s="10" t="n">
        <v>2</v>
      </c>
      <c r="J427" s="10" t="n">
        <v>9</v>
      </c>
      <c r="K427" s="10" t="n">
        <v>98</v>
      </c>
      <c r="L427" s="10" t="n">
        <v>100</v>
      </c>
      <c r="M427" s="10" t="n">
        <v>225</v>
      </c>
    </row>
    <row r="428" customFormat="false" ht="15" hidden="false" customHeight="false" outlineLevel="0" collapsed="false">
      <c r="A428" s="10" t="s">
        <v>1651</v>
      </c>
      <c r="B428" s="10" t="s">
        <v>395</v>
      </c>
      <c r="C428" s="10" t="s">
        <v>1652</v>
      </c>
      <c r="D428" s="10" t="s">
        <v>450</v>
      </c>
      <c r="E428" s="10" t="s">
        <v>167</v>
      </c>
      <c r="F428" s="10" t="n">
        <v>14</v>
      </c>
      <c r="G428" s="10" t="s">
        <v>651</v>
      </c>
      <c r="H428" s="10" t="n">
        <v>4</v>
      </c>
      <c r="I428" s="10" t="n">
        <v>2</v>
      </c>
      <c r="J428" s="10" t="n">
        <v>11</v>
      </c>
      <c r="K428" s="10" t="n">
        <v>98</v>
      </c>
      <c r="L428" s="10" t="n">
        <v>100</v>
      </c>
      <c r="M428" s="10" t="n">
        <v>198</v>
      </c>
    </row>
    <row r="429" customFormat="false" ht="15" hidden="false" customHeight="false" outlineLevel="0" collapsed="false">
      <c r="A429" s="10" t="s">
        <v>1653</v>
      </c>
      <c r="B429" s="10" t="s">
        <v>395</v>
      </c>
      <c r="C429" s="10" t="s">
        <v>1654</v>
      </c>
      <c r="D429" s="10" t="s">
        <v>450</v>
      </c>
      <c r="E429" s="10" t="s">
        <v>167</v>
      </c>
      <c r="F429" s="10" t="n">
        <v>13</v>
      </c>
      <c r="G429" s="10" t="s">
        <v>1655</v>
      </c>
      <c r="H429" s="10" t="n">
        <v>4</v>
      </c>
      <c r="I429" s="10" t="n">
        <v>2</v>
      </c>
      <c r="J429" s="10" t="n">
        <v>7</v>
      </c>
      <c r="K429" s="10" t="n">
        <v>97</v>
      </c>
      <c r="L429" s="10" t="n">
        <v>100</v>
      </c>
      <c r="M429" s="10" t="n">
        <v>188</v>
      </c>
    </row>
    <row r="430" customFormat="false" ht="15" hidden="false" customHeight="false" outlineLevel="0" collapsed="false">
      <c r="A430" s="10" t="s">
        <v>1656</v>
      </c>
      <c r="B430" s="10" t="s">
        <v>395</v>
      </c>
      <c r="C430" s="10" t="s">
        <v>1657</v>
      </c>
      <c r="D430" s="10" t="s">
        <v>450</v>
      </c>
      <c r="E430" s="10" t="s">
        <v>167</v>
      </c>
      <c r="F430" s="10" t="n">
        <v>12</v>
      </c>
      <c r="G430" s="10" t="s">
        <v>1658</v>
      </c>
      <c r="H430" s="10" t="n">
        <v>4</v>
      </c>
      <c r="I430" s="10" t="n">
        <v>2</v>
      </c>
      <c r="J430" s="10" t="n">
        <v>6</v>
      </c>
      <c r="K430" s="10" t="n">
        <v>98</v>
      </c>
      <c r="L430" s="10" t="n">
        <v>100</v>
      </c>
      <c r="M430" s="10" t="n">
        <v>178</v>
      </c>
    </row>
    <row r="431" customFormat="false" ht="15" hidden="false" customHeight="false" outlineLevel="0" collapsed="false">
      <c r="A431" s="10" t="s">
        <v>1659</v>
      </c>
      <c r="B431" s="10" t="s">
        <v>395</v>
      </c>
      <c r="C431" s="10" t="s">
        <v>1660</v>
      </c>
      <c r="D431" s="10" t="s">
        <v>450</v>
      </c>
      <c r="E431" s="10" t="s">
        <v>167</v>
      </c>
      <c r="F431" s="10" t="n">
        <v>13</v>
      </c>
      <c r="G431" s="10" t="s">
        <v>1661</v>
      </c>
      <c r="H431" s="10" t="n">
        <v>4</v>
      </c>
      <c r="I431" s="10" t="n">
        <v>2</v>
      </c>
      <c r="J431" s="10" t="n">
        <v>8</v>
      </c>
      <c r="K431" s="10" t="n">
        <v>97</v>
      </c>
      <c r="L431" s="10" t="n">
        <v>100</v>
      </c>
      <c r="M431" s="10" t="n">
        <v>191</v>
      </c>
    </row>
    <row r="432" customFormat="false" ht="15" hidden="false" customHeight="false" outlineLevel="0" collapsed="false">
      <c r="A432" s="10" t="s">
        <v>1662</v>
      </c>
      <c r="B432" s="10" t="s">
        <v>395</v>
      </c>
      <c r="C432" s="10" t="s">
        <v>1663</v>
      </c>
      <c r="D432" s="10" t="s">
        <v>450</v>
      </c>
      <c r="E432" s="10" t="s">
        <v>167</v>
      </c>
      <c r="F432" s="10" t="n">
        <v>13</v>
      </c>
      <c r="G432" s="10" t="s">
        <v>1664</v>
      </c>
      <c r="H432" s="10" t="n">
        <v>4</v>
      </c>
      <c r="I432" s="10" t="n">
        <v>2</v>
      </c>
      <c r="J432" s="10" t="n">
        <v>7</v>
      </c>
      <c r="K432" s="10" t="n">
        <v>98</v>
      </c>
      <c r="L432" s="10" t="n">
        <v>100</v>
      </c>
      <c r="M432" s="10" t="n">
        <v>201</v>
      </c>
    </row>
    <row r="433" customFormat="false" ht="15" hidden="false" customHeight="false" outlineLevel="0" collapsed="false">
      <c r="A433" s="10" t="s">
        <v>1665</v>
      </c>
      <c r="B433" s="10" t="s">
        <v>395</v>
      </c>
      <c r="C433" s="10" t="s">
        <v>1666</v>
      </c>
      <c r="D433" s="10" t="s">
        <v>450</v>
      </c>
      <c r="E433" s="10" t="s">
        <v>167</v>
      </c>
      <c r="F433" s="10" t="n">
        <v>13</v>
      </c>
      <c r="G433" s="10" t="s">
        <v>1667</v>
      </c>
      <c r="H433" s="10" t="n">
        <v>4</v>
      </c>
      <c r="I433" s="10" t="n">
        <v>2</v>
      </c>
      <c r="J433" s="10" t="n">
        <v>11</v>
      </c>
      <c r="K433" s="10" t="n">
        <v>99</v>
      </c>
      <c r="L433" s="10" t="n">
        <v>100</v>
      </c>
      <c r="M433" s="10" t="n">
        <v>181</v>
      </c>
    </row>
    <row r="434" customFormat="false" ht="15" hidden="false" customHeight="false" outlineLevel="0" collapsed="false">
      <c r="A434" s="10" t="s">
        <v>1668</v>
      </c>
      <c r="B434" s="10" t="s">
        <v>395</v>
      </c>
      <c r="C434" s="10" t="s">
        <v>1669</v>
      </c>
      <c r="D434" s="10" t="s">
        <v>450</v>
      </c>
      <c r="E434" s="10" t="s">
        <v>167</v>
      </c>
      <c r="F434" s="10" t="n">
        <v>13</v>
      </c>
      <c r="G434" s="10" t="s">
        <v>1670</v>
      </c>
      <c r="H434" s="10" t="n">
        <v>4</v>
      </c>
      <c r="I434" s="10" t="n">
        <v>2</v>
      </c>
      <c r="J434" s="10" t="n">
        <v>8</v>
      </c>
      <c r="K434" s="10" t="n">
        <v>98</v>
      </c>
      <c r="L434" s="10" t="n">
        <v>100</v>
      </c>
      <c r="M434" s="10" t="n">
        <v>191</v>
      </c>
    </row>
    <row r="435" customFormat="false" ht="15" hidden="false" customHeight="false" outlineLevel="0" collapsed="false">
      <c r="A435" s="10" t="s">
        <v>1671</v>
      </c>
      <c r="B435" s="10" t="s">
        <v>395</v>
      </c>
      <c r="C435" s="10" t="s">
        <v>1672</v>
      </c>
      <c r="D435" s="10" t="s">
        <v>450</v>
      </c>
      <c r="E435" s="10" t="s">
        <v>167</v>
      </c>
      <c r="F435" s="10" t="n">
        <v>12</v>
      </c>
      <c r="G435" s="10" t="s">
        <v>1673</v>
      </c>
      <c r="H435" s="10" t="n">
        <v>4</v>
      </c>
      <c r="I435" s="10" t="n">
        <v>2</v>
      </c>
      <c r="J435" s="10" t="n">
        <v>7</v>
      </c>
      <c r="K435" s="10" t="n">
        <v>98</v>
      </c>
      <c r="L435" s="10" t="n">
        <v>100</v>
      </c>
      <c r="M435" s="10" t="n">
        <v>201</v>
      </c>
    </row>
    <row r="436" customFormat="false" ht="15" hidden="false" customHeight="false" outlineLevel="0" collapsed="false">
      <c r="A436" s="10" t="s">
        <v>1674</v>
      </c>
      <c r="B436" s="10" t="s">
        <v>395</v>
      </c>
      <c r="C436" s="10" t="s">
        <v>1675</v>
      </c>
      <c r="D436" s="10" t="s">
        <v>450</v>
      </c>
      <c r="E436" s="10" t="s">
        <v>167</v>
      </c>
      <c r="F436" s="10" t="n">
        <v>13</v>
      </c>
      <c r="G436" s="10" t="s">
        <v>1676</v>
      </c>
      <c r="H436" s="10" t="n">
        <v>4</v>
      </c>
      <c r="I436" s="10" t="n">
        <v>2</v>
      </c>
      <c r="J436" s="10" t="n">
        <v>11</v>
      </c>
      <c r="K436" s="10" t="n">
        <v>98</v>
      </c>
      <c r="L436" s="10" t="n">
        <v>100</v>
      </c>
      <c r="M436" s="10" t="n">
        <v>173</v>
      </c>
    </row>
    <row r="437" customFormat="false" ht="15" hidden="false" customHeight="false" outlineLevel="0" collapsed="false">
      <c r="A437" s="10" t="s">
        <v>1677</v>
      </c>
      <c r="B437" s="10" t="s">
        <v>395</v>
      </c>
      <c r="C437" s="10" t="s">
        <v>1678</v>
      </c>
      <c r="D437" s="10" t="s">
        <v>450</v>
      </c>
      <c r="E437" s="10" t="s">
        <v>167</v>
      </c>
      <c r="F437" s="10" t="n">
        <v>12</v>
      </c>
      <c r="G437" s="10" t="s">
        <v>1679</v>
      </c>
      <c r="H437" s="10" t="n">
        <v>4</v>
      </c>
      <c r="I437" s="10" t="n">
        <v>2</v>
      </c>
      <c r="J437" s="10" t="n">
        <v>8</v>
      </c>
      <c r="K437" s="10" t="n">
        <v>97</v>
      </c>
      <c r="L437" s="10" t="n">
        <v>100</v>
      </c>
      <c r="M437" s="10" t="n">
        <v>207</v>
      </c>
    </row>
    <row r="438" customFormat="false" ht="15" hidden="false" customHeight="false" outlineLevel="0" collapsed="false">
      <c r="A438" s="10" t="s">
        <v>1680</v>
      </c>
      <c r="B438" s="10" t="s">
        <v>395</v>
      </c>
      <c r="C438" s="10" t="s">
        <v>1681</v>
      </c>
      <c r="D438" s="10" t="s">
        <v>450</v>
      </c>
      <c r="E438" s="10" t="s">
        <v>167</v>
      </c>
      <c r="F438" s="10" t="n">
        <v>13</v>
      </c>
      <c r="G438" s="10" t="s">
        <v>1682</v>
      </c>
      <c r="H438" s="10" t="n">
        <v>4</v>
      </c>
      <c r="I438" s="10" t="n">
        <v>2</v>
      </c>
      <c r="J438" s="10" t="n">
        <v>8</v>
      </c>
      <c r="K438" s="10" t="n">
        <v>98</v>
      </c>
      <c r="L438" s="10" t="n">
        <v>100</v>
      </c>
      <c r="M438" s="10" t="n">
        <v>211</v>
      </c>
    </row>
    <row r="439" customFormat="false" ht="15" hidden="false" customHeight="false" outlineLevel="0" collapsed="false">
      <c r="A439" s="10" t="s">
        <v>1683</v>
      </c>
      <c r="B439" s="10" t="s">
        <v>395</v>
      </c>
      <c r="C439" s="10" t="s">
        <v>1684</v>
      </c>
      <c r="D439" s="10" t="s">
        <v>450</v>
      </c>
      <c r="E439" s="10" t="s">
        <v>167</v>
      </c>
      <c r="F439" s="10" t="n">
        <v>13</v>
      </c>
      <c r="G439" s="10" t="s">
        <v>1685</v>
      </c>
      <c r="H439" s="10" t="n">
        <v>4</v>
      </c>
      <c r="I439" s="10" t="n">
        <v>2</v>
      </c>
      <c r="J439" s="10" t="n">
        <v>8</v>
      </c>
      <c r="K439" s="10" t="n">
        <v>97</v>
      </c>
      <c r="L439" s="10" t="n">
        <v>100</v>
      </c>
      <c r="M439" s="10" t="n">
        <v>196</v>
      </c>
    </row>
    <row r="440" customFormat="false" ht="15" hidden="false" customHeight="false" outlineLevel="0" collapsed="false">
      <c r="A440" s="10" t="s">
        <v>1686</v>
      </c>
      <c r="B440" s="10" t="s">
        <v>395</v>
      </c>
      <c r="C440" s="10" t="s">
        <v>1687</v>
      </c>
      <c r="D440" s="10" t="s">
        <v>450</v>
      </c>
      <c r="E440" s="10" t="s">
        <v>167</v>
      </c>
      <c r="F440" s="10" t="n">
        <v>13</v>
      </c>
      <c r="G440" s="10" t="s">
        <v>1688</v>
      </c>
      <c r="H440" s="10" t="n">
        <v>4</v>
      </c>
      <c r="I440" s="10" t="n">
        <v>2</v>
      </c>
      <c r="J440" s="10" t="n">
        <v>7</v>
      </c>
      <c r="K440" s="10" t="n">
        <v>99</v>
      </c>
      <c r="L440" s="10" t="n">
        <v>100</v>
      </c>
      <c r="M440" s="10" t="n">
        <v>220</v>
      </c>
    </row>
    <row r="441" customFormat="false" ht="15" hidden="false" customHeight="false" outlineLevel="0" collapsed="false">
      <c r="A441" s="10" t="s">
        <v>1689</v>
      </c>
      <c r="B441" s="10" t="s">
        <v>395</v>
      </c>
      <c r="C441" s="10" t="s">
        <v>1690</v>
      </c>
      <c r="D441" s="10" t="s">
        <v>450</v>
      </c>
      <c r="E441" s="10" t="s">
        <v>167</v>
      </c>
      <c r="F441" s="10" t="n">
        <v>13</v>
      </c>
      <c r="G441" s="10" t="s">
        <v>1691</v>
      </c>
      <c r="H441" s="10" t="n">
        <v>4</v>
      </c>
      <c r="I441" s="10" t="n">
        <v>2</v>
      </c>
      <c r="J441" s="10" t="n">
        <v>7</v>
      </c>
      <c r="K441" s="10" t="n">
        <v>98</v>
      </c>
      <c r="L441" s="10" t="n">
        <v>100</v>
      </c>
      <c r="M441" s="10" t="n">
        <v>196</v>
      </c>
    </row>
    <row r="442" customFormat="false" ht="15" hidden="false" customHeight="false" outlineLevel="0" collapsed="false">
      <c r="A442" s="10" t="s">
        <v>1692</v>
      </c>
      <c r="B442" s="10" t="s">
        <v>395</v>
      </c>
      <c r="C442" s="10" t="s">
        <v>1693</v>
      </c>
      <c r="D442" s="10" t="s">
        <v>450</v>
      </c>
      <c r="E442" s="10" t="s">
        <v>167</v>
      </c>
      <c r="F442" s="10" t="n">
        <v>13</v>
      </c>
      <c r="G442" s="10" t="s">
        <v>1694</v>
      </c>
      <c r="H442" s="10" t="n">
        <v>4</v>
      </c>
      <c r="I442" s="10" t="n">
        <v>2</v>
      </c>
      <c r="J442" s="10" t="n">
        <v>8</v>
      </c>
      <c r="K442" s="10" t="n">
        <v>98</v>
      </c>
      <c r="L442" s="10" t="n">
        <v>100</v>
      </c>
      <c r="M442" s="10" t="n">
        <v>219</v>
      </c>
    </row>
    <row r="443" customFormat="false" ht="15" hidden="false" customHeight="false" outlineLevel="0" collapsed="false">
      <c r="A443" s="10" t="s">
        <v>1695</v>
      </c>
      <c r="B443" s="10" t="s">
        <v>395</v>
      </c>
      <c r="C443" s="10" t="s">
        <v>1696</v>
      </c>
      <c r="D443" s="10" t="s">
        <v>450</v>
      </c>
      <c r="E443" s="10" t="s">
        <v>167</v>
      </c>
      <c r="F443" s="10" t="n">
        <v>12</v>
      </c>
      <c r="G443" s="10" t="s">
        <v>1664</v>
      </c>
      <c r="H443" s="10" t="n">
        <v>4</v>
      </c>
      <c r="I443" s="10" t="n">
        <v>2</v>
      </c>
      <c r="J443" s="10" t="n">
        <v>6</v>
      </c>
      <c r="K443" s="10" t="n">
        <v>98</v>
      </c>
      <c r="L443" s="10" t="n">
        <v>100</v>
      </c>
      <c r="M443" s="10" t="n">
        <v>204</v>
      </c>
    </row>
    <row r="444" customFormat="false" ht="15" hidden="false" customHeight="false" outlineLevel="0" collapsed="false">
      <c r="A444" s="10" t="s">
        <v>1697</v>
      </c>
      <c r="B444" s="10" t="s">
        <v>395</v>
      </c>
      <c r="C444" s="10" t="s">
        <v>1698</v>
      </c>
      <c r="D444" s="10" t="s">
        <v>450</v>
      </c>
      <c r="E444" s="10" t="s">
        <v>167</v>
      </c>
      <c r="F444" s="10" t="n">
        <v>13</v>
      </c>
      <c r="G444" s="10" t="s">
        <v>1699</v>
      </c>
      <c r="H444" s="10" t="n">
        <v>4</v>
      </c>
      <c r="I444" s="10" t="n">
        <v>2</v>
      </c>
      <c r="J444" s="10" t="n">
        <v>9</v>
      </c>
      <c r="K444" s="10" t="n">
        <v>98</v>
      </c>
      <c r="L444" s="10" t="n">
        <v>100</v>
      </c>
      <c r="M444" s="10" t="n">
        <v>189</v>
      </c>
    </row>
    <row r="445" customFormat="false" ht="15" hidden="false" customHeight="false" outlineLevel="0" collapsed="false">
      <c r="A445" s="10" t="s">
        <v>1700</v>
      </c>
      <c r="B445" s="10" t="s">
        <v>395</v>
      </c>
      <c r="C445" s="10" t="s">
        <v>1701</v>
      </c>
      <c r="D445" s="10" t="s">
        <v>450</v>
      </c>
      <c r="E445" s="10" t="s">
        <v>167</v>
      </c>
      <c r="F445" s="10" t="n">
        <v>13</v>
      </c>
      <c r="G445" s="10" t="s">
        <v>673</v>
      </c>
      <c r="H445" s="10" t="n">
        <v>4</v>
      </c>
      <c r="I445" s="10" t="n">
        <v>2</v>
      </c>
      <c r="J445" s="10" t="n">
        <v>10</v>
      </c>
      <c r="K445" s="10" t="n">
        <v>98</v>
      </c>
      <c r="L445" s="10" t="n">
        <v>100</v>
      </c>
      <c r="M445" s="10" t="n">
        <v>195</v>
      </c>
    </row>
    <row r="446" customFormat="false" ht="15" hidden="false" customHeight="false" outlineLevel="0" collapsed="false">
      <c r="A446" s="10" t="s">
        <v>1702</v>
      </c>
      <c r="B446" s="10" t="s">
        <v>395</v>
      </c>
      <c r="C446" s="10" t="s">
        <v>1703</v>
      </c>
      <c r="D446" s="10" t="s">
        <v>450</v>
      </c>
      <c r="E446" s="10" t="s">
        <v>167</v>
      </c>
      <c r="F446" s="10" t="n">
        <v>13</v>
      </c>
      <c r="G446" s="10" t="s">
        <v>1704</v>
      </c>
      <c r="H446" s="10" t="n">
        <v>4</v>
      </c>
      <c r="I446" s="10" t="n">
        <v>2</v>
      </c>
      <c r="J446" s="10" t="n">
        <v>8</v>
      </c>
      <c r="K446" s="10" t="n">
        <v>98</v>
      </c>
      <c r="L446" s="10" t="n">
        <v>100</v>
      </c>
      <c r="M446" s="10" t="n">
        <v>206</v>
      </c>
    </row>
    <row r="447" customFormat="false" ht="15" hidden="false" customHeight="false" outlineLevel="0" collapsed="false">
      <c r="A447" s="10" t="s">
        <v>1705</v>
      </c>
      <c r="B447" s="10" t="s">
        <v>395</v>
      </c>
      <c r="C447" s="10" t="s">
        <v>1706</v>
      </c>
      <c r="D447" s="10" t="s">
        <v>499</v>
      </c>
      <c r="E447" s="10" t="s">
        <v>116</v>
      </c>
      <c r="F447" s="10" t="n">
        <v>13</v>
      </c>
      <c r="G447" s="10" t="s">
        <v>732</v>
      </c>
      <c r="H447" s="10" t="n">
        <v>4</v>
      </c>
      <c r="I447" s="10" t="n">
        <v>2</v>
      </c>
      <c r="J447" s="10" t="n">
        <v>5</v>
      </c>
      <c r="K447" s="10" t="n">
        <v>95</v>
      </c>
      <c r="L447" s="10" t="n">
        <v>100</v>
      </c>
      <c r="M447" s="10" t="n">
        <v>163</v>
      </c>
    </row>
    <row r="448" customFormat="false" ht="15" hidden="false" customHeight="false" outlineLevel="0" collapsed="false">
      <c r="A448" s="10" t="s">
        <v>1707</v>
      </c>
      <c r="B448" s="10" t="s">
        <v>395</v>
      </c>
      <c r="C448" s="10" t="s">
        <v>1708</v>
      </c>
      <c r="D448" s="10" t="s">
        <v>499</v>
      </c>
      <c r="E448" s="10" t="s">
        <v>116</v>
      </c>
      <c r="F448" s="10" t="n">
        <v>14</v>
      </c>
      <c r="G448" s="10" t="s">
        <v>597</v>
      </c>
      <c r="H448" s="10" t="n">
        <v>4</v>
      </c>
      <c r="I448" s="10" t="n">
        <v>2</v>
      </c>
      <c r="J448" s="10" t="n">
        <v>5</v>
      </c>
      <c r="K448" s="10" t="n">
        <v>93</v>
      </c>
      <c r="L448" s="10" t="n">
        <v>100</v>
      </c>
      <c r="M448" s="10" t="n">
        <v>296</v>
      </c>
    </row>
    <row r="449" customFormat="false" ht="15" hidden="false" customHeight="false" outlineLevel="0" collapsed="false">
      <c r="A449" s="10" t="s">
        <v>1709</v>
      </c>
      <c r="B449" s="10" t="s">
        <v>395</v>
      </c>
      <c r="C449" s="10" t="s">
        <v>1710</v>
      </c>
      <c r="D449" s="10" t="s">
        <v>683</v>
      </c>
      <c r="E449" s="10"/>
      <c r="F449" s="10" t="n">
        <v>14</v>
      </c>
      <c r="G449" s="10" t="s">
        <v>1711</v>
      </c>
      <c r="H449" s="10" t="n">
        <v>4</v>
      </c>
      <c r="I449" s="10" t="n">
        <v>2</v>
      </c>
      <c r="J449" s="10" t="n">
        <v>5</v>
      </c>
      <c r="K449" s="10" t="n">
        <v>98</v>
      </c>
      <c r="L449" s="10" t="n">
        <v>100</v>
      </c>
      <c r="M449" s="10" t="n">
        <v>251</v>
      </c>
    </row>
    <row r="450" customFormat="false" ht="15" hidden="false" customHeight="false" outlineLevel="0" collapsed="false">
      <c r="A450" s="10" t="s">
        <v>1712</v>
      </c>
      <c r="B450" s="10" t="s">
        <v>395</v>
      </c>
      <c r="C450" s="10" t="s">
        <v>1713</v>
      </c>
      <c r="D450" s="10" t="s">
        <v>433</v>
      </c>
      <c r="E450" s="10" t="s">
        <v>146</v>
      </c>
      <c r="F450" s="10" t="n">
        <v>13</v>
      </c>
      <c r="G450" s="10" t="s">
        <v>1714</v>
      </c>
      <c r="H450" s="10" t="n">
        <v>4</v>
      </c>
      <c r="I450" s="10" t="n">
        <v>2</v>
      </c>
      <c r="J450" s="10" t="n">
        <v>6</v>
      </c>
      <c r="K450" s="10" t="n">
        <v>94</v>
      </c>
      <c r="L450" s="10" t="n">
        <v>100</v>
      </c>
      <c r="M450" s="10" t="n">
        <v>155</v>
      </c>
    </row>
    <row r="451" customFormat="false" ht="15" hidden="false" customHeight="false" outlineLevel="0" collapsed="false">
      <c r="A451" s="10" t="s">
        <v>1715</v>
      </c>
      <c r="B451" s="10" t="s">
        <v>395</v>
      </c>
      <c r="C451" s="10" t="s">
        <v>1716</v>
      </c>
      <c r="D451" s="10" t="s">
        <v>832</v>
      </c>
      <c r="E451" s="10" t="s">
        <v>1717</v>
      </c>
      <c r="F451" s="10" t="n">
        <v>12</v>
      </c>
      <c r="G451" s="10" t="s">
        <v>1718</v>
      </c>
      <c r="H451" s="10" t="n">
        <v>4</v>
      </c>
      <c r="I451" s="10" t="n">
        <v>2</v>
      </c>
      <c r="J451" s="10" t="n">
        <v>3</v>
      </c>
      <c r="K451" s="10" t="n">
        <v>96</v>
      </c>
      <c r="L451" s="10" t="n">
        <v>100</v>
      </c>
      <c r="M451" s="10" t="n">
        <v>155</v>
      </c>
    </row>
    <row r="452" customFormat="false" ht="15" hidden="false" customHeight="false" outlineLevel="0" collapsed="false">
      <c r="A452" s="10" t="s">
        <v>1719</v>
      </c>
      <c r="B452" s="10" t="s">
        <v>395</v>
      </c>
      <c r="C452" s="10" t="s">
        <v>1720</v>
      </c>
      <c r="D452" s="10" t="s">
        <v>405</v>
      </c>
      <c r="E452" s="10" t="s">
        <v>226</v>
      </c>
      <c r="F452" s="10" t="n">
        <v>13</v>
      </c>
      <c r="G452" s="10" t="s">
        <v>1721</v>
      </c>
      <c r="H452" s="10" t="n">
        <v>4</v>
      </c>
      <c r="I452" s="10" t="n">
        <v>2</v>
      </c>
      <c r="J452" s="10" t="n">
        <v>12</v>
      </c>
      <c r="K452" s="10" t="n">
        <v>98</v>
      </c>
      <c r="L452" s="10" t="n">
        <v>100</v>
      </c>
      <c r="M452" s="10" t="n">
        <v>186</v>
      </c>
    </row>
    <row r="453" customFormat="false" ht="15" hidden="false" customHeight="false" outlineLevel="0" collapsed="false">
      <c r="A453" s="10" t="s">
        <v>1722</v>
      </c>
      <c r="B453" s="10" t="s">
        <v>395</v>
      </c>
      <c r="C453" s="10" t="s">
        <v>1723</v>
      </c>
      <c r="D453" s="10" t="s">
        <v>499</v>
      </c>
      <c r="E453" s="10" t="s">
        <v>184</v>
      </c>
      <c r="F453" s="10" t="n">
        <v>13</v>
      </c>
      <c r="G453" s="10" t="s">
        <v>1724</v>
      </c>
      <c r="H453" s="10" t="n">
        <v>4</v>
      </c>
      <c r="I453" s="10" t="n">
        <v>2</v>
      </c>
      <c r="J453" s="10" t="n">
        <v>6</v>
      </c>
      <c r="K453" s="10" t="n">
        <v>97</v>
      </c>
      <c r="L453" s="10" t="n">
        <v>100</v>
      </c>
      <c r="M453" s="10" t="n">
        <v>237</v>
      </c>
    </row>
    <row r="454" customFormat="false" ht="15" hidden="false" customHeight="false" outlineLevel="0" collapsed="false">
      <c r="A454" s="10" t="s">
        <v>1725</v>
      </c>
      <c r="B454" s="10" t="s">
        <v>395</v>
      </c>
      <c r="C454" s="10" t="s">
        <v>1726</v>
      </c>
      <c r="D454" s="10" t="s">
        <v>499</v>
      </c>
      <c r="E454" s="10" t="s">
        <v>184</v>
      </c>
      <c r="F454" s="10" t="n">
        <v>13</v>
      </c>
      <c r="G454" s="10" t="s">
        <v>1727</v>
      </c>
      <c r="H454" s="10" t="n">
        <v>4</v>
      </c>
      <c r="I454" s="10" t="n">
        <v>2</v>
      </c>
      <c r="J454" s="10" t="n">
        <v>6</v>
      </c>
      <c r="K454" s="10" t="n">
        <v>97</v>
      </c>
      <c r="L454" s="10" t="n">
        <v>100</v>
      </c>
      <c r="M454" s="10" t="n">
        <v>228</v>
      </c>
    </row>
    <row r="455" customFormat="false" ht="15" hidden="false" customHeight="false" outlineLevel="0" collapsed="false">
      <c r="A455" s="10" t="s">
        <v>1728</v>
      </c>
      <c r="B455" s="10" t="s">
        <v>395</v>
      </c>
      <c r="C455" s="10" t="s">
        <v>1729</v>
      </c>
      <c r="D455" s="10" t="s">
        <v>499</v>
      </c>
      <c r="E455" s="10" t="s">
        <v>184</v>
      </c>
      <c r="F455" s="10" t="n">
        <v>13</v>
      </c>
      <c r="G455" s="10" t="s">
        <v>1730</v>
      </c>
      <c r="H455" s="10" t="n">
        <v>4</v>
      </c>
      <c r="I455" s="10" t="n">
        <v>2</v>
      </c>
      <c r="J455" s="10" t="n">
        <v>6</v>
      </c>
      <c r="K455" s="10" t="n">
        <v>97</v>
      </c>
      <c r="L455" s="10" t="n">
        <v>100</v>
      </c>
      <c r="M455" s="10" t="n">
        <v>214</v>
      </c>
    </row>
    <row r="456" customFormat="false" ht="15" hidden="false" customHeight="false" outlineLevel="0" collapsed="false">
      <c r="A456" s="10" t="s">
        <v>1731</v>
      </c>
      <c r="B456" s="10" t="s">
        <v>395</v>
      </c>
      <c r="C456" s="10" t="s">
        <v>1732</v>
      </c>
      <c r="D456" s="10" t="s">
        <v>499</v>
      </c>
      <c r="E456" s="10" t="s">
        <v>184</v>
      </c>
      <c r="F456" s="10" t="n">
        <v>13</v>
      </c>
      <c r="G456" s="10" t="s">
        <v>1733</v>
      </c>
      <c r="H456" s="10" t="n">
        <v>4</v>
      </c>
      <c r="I456" s="10" t="n">
        <v>2</v>
      </c>
      <c r="J456" s="10" t="n">
        <v>6</v>
      </c>
      <c r="K456" s="10" t="n">
        <v>97</v>
      </c>
      <c r="L456" s="10" t="n">
        <v>100</v>
      </c>
      <c r="M456" s="10" t="n">
        <v>279</v>
      </c>
    </row>
    <row r="457" customFormat="false" ht="15" hidden="false" customHeight="false" outlineLevel="0" collapsed="false">
      <c r="A457" s="10" t="s">
        <v>1734</v>
      </c>
      <c r="B457" s="10" t="s">
        <v>395</v>
      </c>
      <c r="C457" s="10" t="s">
        <v>1735</v>
      </c>
      <c r="D457" s="10" t="s">
        <v>499</v>
      </c>
      <c r="E457" s="10" t="s">
        <v>184</v>
      </c>
      <c r="F457" s="10" t="n">
        <v>14</v>
      </c>
      <c r="G457" s="10" t="s">
        <v>1736</v>
      </c>
      <c r="H457" s="10" t="n">
        <v>4</v>
      </c>
      <c r="I457" s="10" t="n">
        <v>2</v>
      </c>
      <c r="J457" s="10" t="n">
        <v>6</v>
      </c>
      <c r="K457" s="10" t="n">
        <v>96</v>
      </c>
      <c r="L457" s="10" t="n">
        <v>100</v>
      </c>
      <c r="M457" s="10" t="n">
        <v>244</v>
      </c>
    </row>
    <row r="458" customFormat="false" ht="15" hidden="false" customHeight="false" outlineLevel="0" collapsed="false">
      <c r="A458" s="10" t="s">
        <v>1737</v>
      </c>
      <c r="B458" s="10" t="s">
        <v>395</v>
      </c>
      <c r="C458" s="10" t="s">
        <v>1738</v>
      </c>
      <c r="D458" s="10" t="s">
        <v>499</v>
      </c>
      <c r="E458" s="10" t="s">
        <v>184</v>
      </c>
      <c r="F458" s="10" t="n">
        <v>13</v>
      </c>
      <c r="G458" s="10" t="s">
        <v>1739</v>
      </c>
      <c r="H458" s="10" t="n">
        <v>4</v>
      </c>
      <c r="I458" s="10" t="n">
        <v>2</v>
      </c>
      <c r="J458" s="10" t="n">
        <v>6</v>
      </c>
      <c r="K458" s="10" t="n">
        <v>98</v>
      </c>
      <c r="L458" s="10" t="n">
        <v>100</v>
      </c>
      <c r="M458" s="10" t="n">
        <v>261</v>
      </c>
    </row>
    <row r="459" customFormat="false" ht="15" hidden="false" customHeight="false" outlineLevel="0" collapsed="false">
      <c r="A459" s="10" t="s">
        <v>1740</v>
      </c>
      <c r="B459" s="10" t="s">
        <v>395</v>
      </c>
      <c r="C459" s="10" t="s">
        <v>1741</v>
      </c>
      <c r="D459" s="10" t="s">
        <v>499</v>
      </c>
      <c r="E459" s="10" t="s">
        <v>184</v>
      </c>
      <c r="F459" s="10" t="n">
        <v>13</v>
      </c>
      <c r="G459" s="10" t="s">
        <v>1742</v>
      </c>
      <c r="H459" s="10" t="n">
        <v>4</v>
      </c>
      <c r="I459" s="10" t="n">
        <v>2</v>
      </c>
      <c r="J459" s="10" t="n">
        <v>6</v>
      </c>
      <c r="K459" s="10" t="n">
        <v>96</v>
      </c>
      <c r="L459" s="10" t="n">
        <v>100</v>
      </c>
      <c r="M459" s="10" t="n">
        <v>254</v>
      </c>
    </row>
    <row r="460" customFormat="false" ht="15" hidden="false" customHeight="false" outlineLevel="0" collapsed="false">
      <c r="A460" s="10" t="s">
        <v>1743</v>
      </c>
      <c r="B460" s="10" t="s">
        <v>395</v>
      </c>
      <c r="C460" s="10" t="s">
        <v>1744</v>
      </c>
      <c r="D460" s="10" t="s">
        <v>499</v>
      </c>
      <c r="E460" s="10" t="s">
        <v>184</v>
      </c>
      <c r="F460" s="10" t="n">
        <v>13</v>
      </c>
      <c r="G460" s="10" t="s">
        <v>1745</v>
      </c>
      <c r="H460" s="10" t="n">
        <v>4</v>
      </c>
      <c r="I460" s="10" t="n">
        <v>2</v>
      </c>
      <c r="J460" s="10" t="n">
        <v>7</v>
      </c>
      <c r="K460" s="10" t="n">
        <v>97</v>
      </c>
      <c r="L460" s="10" t="n">
        <v>100</v>
      </c>
      <c r="M460" s="10" t="n">
        <v>251</v>
      </c>
    </row>
    <row r="461" customFormat="false" ht="15" hidden="false" customHeight="false" outlineLevel="0" collapsed="false">
      <c r="A461" s="10" t="s">
        <v>1746</v>
      </c>
      <c r="B461" s="10" t="s">
        <v>395</v>
      </c>
      <c r="C461" s="10" t="s">
        <v>1747</v>
      </c>
      <c r="D461" s="10" t="s">
        <v>401</v>
      </c>
      <c r="E461" s="10" t="s">
        <v>1748</v>
      </c>
      <c r="F461" s="10" t="n">
        <v>13</v>
      </c>
      <c r="G461" s="10" t="s">
        <v>1749</v>
      </c>
      <c r="H461" s="10" t="n">
        <v>4</v>
      </c>
      <c r="I461" s="10" t="n">
        <v>2</v>
      </c>
      <c r="J461" s="10" t="n">
        <v>4</v>
      </c>
      <c r="K461" s="10" t="n">
        <v>96</v>
      </c>
      <c r="L461" s="10" t="n">
        <v>100</v>
      </c>
      <c r="M461" s="10" t="n">
        <v>268</v>
      </c>
    </row>
    <row r="462" customFormat="false" ht="15" hidden="false" customHeight="false" outlineLevel="0" collapsed="false">
      <c r="A462" s="10" t="s">
        <v>1750</v>
      </c>
      <c r="B462" s="10" t="s">
        <v>395</v>
      </c>
      <c r="C462" s="10" t="s">
        <v>1751</v>
      </c>
      <c r="D462" s="10" t="s">
        <v>401</v>
      </c>
      <c r="E462" s="10" t="s">
        <v>161</v>
      </c>
      <c r="F462" s="10" t="n">
        <v>13</v>
      </c>
      <c r="G462" s="10" t="s">
        <v>711</v>
      </c>
      <c r="H462" s="10" t="n">
        <v>4</v>
      </c>
      <c r="I462" s="10" t="n">
        <v>2</v>
      </c>
      <c r="J462" s="10" t="n">
        <v>8</v>
      </c>
      <c r="K462" s="10" t="n">
        <v>97</v>
      </c>
      <c r="L462" s="10" t="n">
        <v>100</v>
      </c>
      <c r="M462" s="10" t="n">
        <v>288</v>
      </c>
    </row>
    <row r="463" customFormat="false" ht="15" hidden="false" customHeight="false" outlineLevel="0" collapsed="false">
      <c r="A463" s="10" t="s">
        <v>1752</v>
      </c>
      <c r="B463" s="10" t="s">
        <v>395</v>
      </c>
      <c r="C463" s="10" t="s">
        <v>1753</v>
      </c>
      <c r="D463" s="10" t="s">
        <v>397</v>
      </c>
      <c r="E463" s="10" t="s">
        <v>139</v>
      </c>
      <c r="F463" s="10" t="n">
        <v>14</v>
      </c>
      <c r="G463" s="10" t="s">
        <v>1754</v>
      </c>
      <c r="H463" s="10" t="n">
        <v>4</v>
      </c>
      <c r="I463" s="10" t="n">
        <v>2</v>
      </c>
      <c r="J463" s="10" t="n">
        <v>6</v>
      </c>
      <c r="K463" s="10" t="n">
        <v>96</v>
      </c>
      <c r="L463" s="10" t="n">
        <v>83</v>
      </c>
      <c r="M463" s="10" t="n">
        <v>231</v>
      </c>
    </row>
    <row r="464" customFormat="false" ht="15" hidden="false" customHeight="false" outlineLevel="0" collapsed="false">
      <c r="A464" s="10" t="s">
        <v>1755</v>
      </c>
      <c r="B464" s="10" t="s">
        <v>395</v>
      </c>
      <c r="C464" s="10" t="s">
        <v>1756</v>
      </c>
      <c r="D464" s="10" t="s">
        <v>465</v>
      </c>
      <c r="E464" s="10"/>
      <c r="F464" s="10" t="n">
        <v>15</v>
      </c>
      <c r="G464" s="10" t="s">
        <v>1757</v>
      </c>
      <c r="H464" s="10" t="n">
        <v>4</v>
      </c>
      <c r="I464" s="10" t="n">
        <v>2</v>
      </c>
      <c r="J464" s="10" t="n">
        <v>4</v>
      </c>
      <c r="K464" s="10" t="n">
        <v>94</v>
      </c>
      <c r="L464" s="10" t="n">
        <v>100</v>
      </c>
      <c r="M464" s="10" t="n">
        <v>173</v>
      </c>
    </row>
    <row r="465" customFormat="false" ht="15" hidden="false" customHeight="false" outlineLevel="0" collapsed="false">
      <c r="A465" s="10" t="s">
        <v>1758</v>
      </c>
      <c r="B465" s="10" t="s">
        <v>395</v>
      </c>
      <c r="C465" s="10" t="s">
        <v>1759</v>
      </c>
      <c r="D465" s="10" t="s">
        <v>428</v>
      </c>
      <c r="E465" s="10" t="s">
        <v>265</v>
      </c>
      <c r="F465" s="10" t="n">
        <v>15</v>
      </c>
      <c r="G465" s="10" t="s">
        <v>1760</v>
      </c>
      <c r="H465" s="10" t="n">
        <v>4</v>
      </c>
      <c r="I465" s="10" t="n">
        <v>2</v>
      </c>
      <c r="J465" s="10" t="n">
        <v>4</v>
      </c>
      <c r="K465" s="10" t="n">
        <v>96</v>
      </c>
      <c r="L465" s="10" t="n">
        <v>100</v>
      </c>
      <c r="M465" s="10" t="n">
        <v>153</v>
      </c>
    </row>
    <row r="466" customFormat="false" ht="15" hidden="false" customHeight="false" outlineLevel="0" collapsed="false">
      <c r="A466" s="10" t="s">
        <v>1761</v>
      </c>
      <c r="B466" s="10" t="s">
        <v>395</v>
      </c>
      <c r="C466" s="10" t="s">
        <v>1762</v>
      </c>
      <c r="D466" s="10" t="s">
        <v>428</v>
      </c>
      <c r="E466" s="10" t="s">
        <v>265</v>
      </c>
      <c r="F466" s="10" t="n">
        <v>15</v>
      </c>
      <c r="G466" s="10" t="s">
        <v>1763</v>
      </c>
      <c r="H466" s="10" t="n">
        <v>4</v>
      </c>
      <c r="I466" s="10" t="n">
        <v>2</v>
      </c>
      <c r="J466" s="10" t="n">
        <v>4</v>
      </c>
      <c r="K466" s="10" t="n">
        <v>95</v>
      </c>
      <c r="L466" s="10" t="n">
        <v>100</v>
      </c>
      <c r="M466" s="10" t="n">
        <v>157</v>
      </c>
    </row>
    <row r="467" customFormat="false" ht="15" hidden="false" customHeight="false" outlineLevel="0" collapsed="false">
      <c r="A467" s="10" t="s">
        <v>1764</v>
      </c>
      <c r="B467" s="10" t="s">
        <v>395</v>
      </c>
      <c r="C467" s="10" t="s">
        <v>1765</v>
      </c>
      <c r="D467" s="10" t="s">
        <v>428</v>
      </c>
      <c r="E467" s="10" t="s">
        <v>265</v>
      </c>
      <c r="F467" s="10" t="n">
        <v>15</v>
      </c>
      <c r="G467" s="10" t="s">
        <v>1766</v>
      </c>
      <c r="H467" s="10" t="n">
        <v>4</v>
      </c>
      <c r="I467" s="10" t="n">
        <v>2</v>
      </c>
      <c r="J467" s="10" t="n">
        <v>4</v>
      </c>
      <c r="K467" s="10" t="n">
        <v>95</v>
      </c>
      <c r="L467" s="10" t="n">
        <v>100</v>
      </c>
      <c r="M467" s="10" t="n">
        <v>154</v>
      </c>
    </row>
    <row r="468" customFormat="false" ht="15" hidden="false" customHeight="false" outlineLevel="0" collapsed="false">
      <c r="A468" s="10" t="s">
        <v>1767</v>
      </c>
      <c r="B468" s="10" t="s">
        <v>395</v>
      </c>
      <c r="C468" s="10" t="s">
        <v>1768</v>
      </c>
      <c r="D468" s="10" t="s">
        <v>428</v>
      </c>
      <c r="E468" s="10" t="s">
        <v>265</v>
      </c>
      <c r="F468" s="10" t="n">
        <v>14</v>
      </c>
      <c r="G468" s="10" t="s">
        <v>1769</v>
      </c>
      <c r="H468" s="10" t="n">
        <v>4</v>
      </c>
      <c r="I468" s="10" t="n">
        <v>2</v>
      </c>
      <c r="J468" s="10" t="n">
        <v>4</v>
      </c>
      <c r="K468" s="10" t="n">
        <v>95</v>
      </c>
      <c r="L468" s="10" t="n">
        <v>100</v>
      </c>
      <c r="M468" s="10" t="n">
        <v>162</v>
      </c>
    </row>
    <row r="469" customFormat="false" ht="15" hidden="false" customHeight="false" outlineLevel="0" collapsed="false">
      <c r="A469" s="10" t="s">
        <v>1770</v>
      </c>
      <c r="B469" s="10" t="s">
        <v>395</v>
      </c>
      <c r="C469" s="10" t="s">
        <v>1771</v>
      </c>
      <c r="D469" s="10" t="s">
        <v>428</v>
      </c>
      <c r="E469" s="10" t="s">
        <v>265</v>
      </c>
      <c r="F469" s="10" t="n">
        <v>14</v>
      </c>
      <c r="G469" s="10" t="s">
        <v>1772</v>
      </c>
      <c r="H469" s="10" t="n">
        <v>4</v>
      </c>
      <c r="I469" s="10" t="n">
        <v>2</v>
      </c>
      <c r="J469" s="10" t="n">
        <v>4</v>
      </c>
      <c r="K469" s="10" t="n">
        <v>96</v>
      </c>
      <c r="L469" s="10" t="n">
        <v>100</v>
      </c>
      <c r="M469" s="10" t="n">
        <v>151</v>
      </c>
    </row>
    <row r="470" customFormat="false" ht="15" hidden="false" customHeight="false" outlineLevel="0" collapsed="false">
      <c r="A470" s="10" t="s">
        <v>1773</v>
      </c>
      <c r="B470" s="10" t="s">
        <v>395</v>
      </c>
      <c r="C470" s="10" t="s">
        <v>1774</v>
      </c>
      <c r="D470" s="10" t="s">
        <v>428</v>
      </c>
      <c r="E470" s="10" t="s">
        <v>265</v>
      </c>
      <c r="F470" s="10" t="n">
        <v>14</v>
      </c>
      <c r="G470" s="10" t="s">
        <v>1775</v>
      </c>
      <c r="H470" s="10" t="n">
        <v>4</v>
      </c>
      <c r="I470" s="10" t="n">
        <v>2</v>
      </c>
      <c r="J470" s="10" t="n">
        <v>5</v>
      </c>
      <c r="K470" s="10" t="n">
        <v>95</v>
      </c>
      <c r="L470" s="10" t="n">
        <v>100</v>
      </c>
      <c r="M470" s="10" t="n">
        <v>157</v>
      </c>
    </row>
    <row r="471" customFormat="false" ht="15" hidden="false" customHeight="false" outlineLevel="0" collapsed="false">
      <c r="A471" s="10" t="s">
        <v>1776</v>
      </c>
      <c r="B471" s="10" t="s">
        <v>395</v>
      </c>
      <c r="C471" s="10" t="s">
        <v>1777</v>
      </c>
      <c r="D471" s="10" t="s">
        <v>428</v>
      </c>
      <c r="E471" s="10" t="s">
        <v>265</v>
      </c>
      <c r="F471" s="10" t="n">
        <v>15</v>
      </c>
      <c r="G471" s="10" t="s">
        <v>1105</v>
      </c>
      <c r="H471" s="10" t="n">
        <v>4</v>
      </c>
      <c r="I471" s="10" t="n">
        <v>2</v>
      </c>
      <c r="J471" s="10" t="n">
        <v>5</v>
      </c>
      <c r="K471" s="10" t="n">
        <v>95</v>
      </c>
      <c r="L471" s="10" t="n">
        <v>100</v>
      </c>
      <c r="M471" s="10" t="n">
        <v>153</v>
      </c>
    </row>
    <row r="472" customFormat="false" ht="15" hidden="false" customHeight="false" outlineLevel="0" collapsed="false">
      <c r="A472" s="10" t="s">
        <v>1778</v>
      </c>
      <c r="B472" s="10" t="s">
        <v>395</v>
      </c>
      <c r="C472" s="10" t="s">
        <v>1779</v>
      </c>
      <c r="D472" s="10" t="s">
        <v>428</v>
      </c>
      <c r="E472" s="10" t="s">
        <v>265</v>
      </c>
      <c r="F472" s="10" t="n">
        <v>14</v>
      </c>
      <c r="G472" s="10" t="s">
        <v>1780</v>
      </c>
      <c r="H472" s="10" t="n">
        <v>4</v>
      </c>
      <c r="I472" s="10" t="n">
        <v>2</v>
      </c>
      <c r="J472" s="10" t="n">
        <v>5</v>
      </c>
      <c r="K472" s="10" t="n">
        <v>95</v>
      </c>
      <c r="L472" s="10" t="n">
        <v>100</v>
      </c>
      <c r="M472" s="10" t="n">
        <v>153</v>
      </c>
    </row>
    <row r="473" customFormat="false" ht="15" hidden="false" customHeight="false" outlineLevel="0" collapsed="false">
      <c r="A473" s="10" t="s">
        <v>1781</v>
      </c>
      <c r="B473" s="10" t="s">
        <v>395</v>
      </c>
      <c r="C473" s="10" t="s">
        <v>1782</v>
      </c>
      <c r="D473" s="10" t="s">
        <v>401</v>
      </c>
      <c r="E473" s="10" t="s">
        <v>196</v>
      </c>
      <c r="F473" s="10" t="n">
        <v>13</v>
      </c>
      <c r="G473" s="10" t="s">
        <v>1783</v>
      </c>
      <c r="H473" s="10" t="n">
        <v>4</v>
      </c>
      <c r="I473" s="10" t="n">
        <v>2</v>
      </c>
      <c r="J473" s="10" t="n">
        <v>3</v>
      </c>
      <c r="K473" s="10" t="n">
        <v>95</v>
      </c>
      <c r="L473" s="10" t="n">
        <v>100</v>
      </c>
      <c r="M473" s="10" t="n">
        <v>247</v>
      </c>
    </row>
    <row r="474" customFormat="false" ht="15" hidden="false" customHeight="false" outlineLevel="0" collapsed="false">
      <c r="A474" s="10" t="s">
        <v>1784</v>
      </c>
      <c r="B474" s="10" t="s">
        <v>395</v>
      </c>
      <c r="C474" s="10" t="s">
        <v>1785</v>
      </c>
      <c r="D474" s="10" t="s">
        <v>417</v>
      </c>
      <c r="E474" s="10" t="s">
        <v>139</v>
      </c>
      <c r="F474" s="10" t="n">
        <v>15</v>
      </c>
      <c r="G474" s="10" t="s">
        <v>1786</v>
      </c>
      <c r="H474" s="10" t="n">
        <v>4</v>
      </c>
      <c r="I474" s="10" t="n">
        <v>2</v>
      </c>
      <c r="J474" s="10" t="n">
        <v>4</v>
      </c>
      <c r="K474" s="10" t="n">
        <v>94</v>
      </c>
      <c r="L474" s="10" t="n">
        <v>100</v>
      </c>
      <c r="M474" s="10" t="n">
        <v>196</v>
      </c>
    </row>
    <row r="475" customFormat="false" ht="15" hidden="false" customHeight="false" outlineLevel="0" collapsed="false">
      <c r="A475" s="10" t="s">
        <v>1787</v>
      </c>
      <c r="B475" s="10" t="s">
        <v>395</v>
      </c>
      <c r="C475" s="10" t="s">
        <v>1788</v>
      </c>
      <c r="D475" s="10" t="s">
        <v>413</v>
      </c>
      <c r="E475" s="10" t="s">
        <v>152</v>
      </c>
      <c r="F475" s="10" t="n">
        <v>13</v>
      </c>
      <c r="G475" s="10" t="s">
        <v>1789</v>
      </c>
      <c r="H475" s="10" t="n">
        <v>4</v>
      </c>
      <c r="I475" s="10" t="n">
        <v>2</v>
      </c>
      <c r="J475" s="10" t="n">
        <v>6</v>
      </c>
      <c r="K475" s="10" t="n">
        <v>95</v>
      </c>
      <c r="L475" s="10" t="n">
        <v>100</v>
      </c>
      <c r="M475" s="10" t="n">
        <v>149</v>
      </c>
    </row>
    <row r="476" customFormat="false" ht="15" hidden="false" customHeight="false" outlineLevel="0" collapsed="false">
      <c r="A476" s="10" t="s">
        <v>1790</v>
      </c>
      <c r="B476" s="10" t="s">
        <v>395</v>
      </c>
      <c r="C476" s="10" t="s">
        <v>1791</v>
      </c>
      <c r="D476" s="10" t="s">
        <v>433</v>
      </c>
      <c r="E476" s="10" t="s">
        <v>191</v>
      </c>
      <c r="F476" s="10" t="n">
        <v>15</v>
      </c>
      <c r="G476" s="10" t="s">
        <v>1792</v>
      </c>
      <c r="H476" s="10" t="n">
        <v>4</v>
      </c>
      <c r="I476" s="10" t="n">
        <v>2</v>
      </c>
      <c r="J476" s="10" t="n">
        <v>6</v>
      </c>
      <c r="K476" s="10" t="n">
        <v>96</v>
      </c>
      <c r="L476" s="10" t="n">
        <v>100</v>
      </c>
      <c r="M476" s="10" t="n">
        <v>187</v>
      </c>
    </row>
    <row r="477" customFormat="false" ht="15" hidden="false" customHeight="false" outlineLevel="0" collapsed="false">
      <c r="A477" s="10" t="s">
        <v>1793</v>
      </c>
      <c r="B477" s="10" t="s">
        <v>395</v>
      </c>
      <c r="C477" s="10" t="s">
        <v>1794</v>
      </c>
      <c r="D477" s="10" t="s">
        <v>428</v>
      </c>
      <c r="E477" s="10"/>
      <c r="F477" s="10" t="n">
        <v>15</v>
      </c>
      <c r="G477" s="10" t="s">
        <v>1795</v>
      </c>
      <c r="H477" s="10" t="n">
        <v>4</v>
      </c>
      <c r="I477" s="10" t="n">
        <v>2</v>
      </c>
      <c r="J477" s="10" t="n">
        <v>5</v>
      </c>
      <c r="K477" s="10" t="n">
        <v>94</v>
      </c>
      <c r="L477" s="10" t="n">
        <v>100</v>
      </c>
      <c r="M477" s="10" t="n">
        <v>259</v>
      </c>
    </row>
    <row r="478" customFormat="false" ht="15" hidden="false" customHeight="false" outlineLevel="0" collapsed="false">
      <c r="A478" s="10" t="s">
        <v>1796</v>
      </c>
      <c r="B478" s="10" t="s">
        <v>395</v>
      </c>
      <c r="C478" s="10" t="s">
        <v>1797</v>
      </c>
      <c r="D478" s="10" t="s">
        <v>433</v>
      </c>
      <c r="E478" s="10" t="s">
        <v>146</v>
      </c>
      <c r="F478" s="10" t="n">
        <v>14</v>
      </c>
      <c r="G478" s="10" t="s">
        <v>1798</v>
      </c>
      <c r="H478" s="10" t="n">
        <v>4</v>
      </c>
      <c r="I478" s="10" t="n">
        <v>2</v>
      </c>
      <c r="J478" s="10" t="n">
        <v>7</v>
      </c>
      <c r="K478" s="10" t="n">
        <v>93</v>
      </c>
      <c r="L478" s="10" t="n">
        <v>100</v>
      </c>
      <c r="M478" s="10" t="n">
        <v>159</v>
      </c>
    </row>
    <row r="479" customFormat="false" ht="15" hidden="false" customHeight="false" outlineLevel="0" collapsed="false">
      <c r="A479" s="10" t="s">
        <v>1799</v>
      </c>
      <c r="B479" s="10" t="s">
        <v>395</v>
      </c>
      <c r="C479" s="10" t="s">
        <v>1800</v>
      </c>
      <c r="D479" s="10" t="s">
        <v>499</v>
      </c>
      <c r="E479" s="10" t="s">
        <v>240</v>
      </c>
      <c r="F479" s="10" t="n">
        <v>13</v>
      </c>
      <c r="G479" s="10" t="s">
        <v>1801</v>
      </c>
      <c r="H479" s="10" t="n">
        <v>4</v>
      </c>
      <c r="I479" s="10" t="n">
        <v>2</v>
      </c>
      <c r="J479" s="10" t="n">
        <v>4</v>
      </c>
      <c r="K479" s="10" t="n">
        <v>98</v>
      </c>
      <c r="L479" s="10" t="n">
        <v>100</v>
      </c>
      <c r="M479" s="10" t="n">
        <v>213</v>
      </c>
    </row>
    <row r="480" customFormat="false" ht="15" hidden="false" customHeight="false" outlineLevel="0" collapsed="false">
      <c r="A480" s="10" t="s">
        <v>1802</v>
      </c>
      <c r="B480" s="10" t="s">
        <v>395</v>
      </c>
      <c r="C480" s="10" t="s">
        <v>1803</v>
      </c>
      <c r="D480" s="10" t="s">
        <v>401</v>
      </c>
      <c r="E480" s="10" t="s">
        <v>196</v>
      </c>
      <c r="F480" s="10" t="n">
        <v>13</v>
      </c>
      <c r="G480" s="10" t="s">
        <v>1804</v>
      </c>
      <c r="H480" s="10" t="n">
        <v>4</v>
      </c>
      <c r="I480" s="10" t="n">
        <v>2</v>
      </c>
      <c r="J480" s="10" t="n">
        <v>4</v>
      </c>
      <c r="K480" s="10" t="n">
        <v>96</v>
      </c>
      <c r="L480" s="10" t="n">
        <v>100</v>
      </c>
      <c r="M480" s="10" t="n">
        <v>164</v>
      </c>
    </row>
    <row r="481" customFormat="false" ht="15" hidden="false" customHeight="false" outlineLevel="0" collapsed="false">
      <c r="A481" s="10" t="s">
        <v>1805</v>
      </c>
      <c r="B481" s="10" t="s">
        <v>395</v>
      </c>
      <c r="C481" s="10" t="s">
        <v>1806</v>
      </c>
      <c r="D481" s="10" t="s">
        <v>401</v>
      </c>
      <c r="E481" s="10" t="s">
        <v>196</v>
      </c>
      <c r="F481" s="10" t="n">
        <v>13</v>
      </c>
      <c r="G481" s="10" t="s">
        <v>1807</v>
      </c>
      <c r="H481" s="10" t="n">
        <v>4</v>
      </c>
      <c r="I481" s="10" t="n">
        <v>2</v>
      </c>
      <c r="J481" s="10" t="n">
        <v>4</v>
      </c>
      <c r="K481" s="10" t="n">
        <v>94</v>
      </c>
      <c r="L481" s="10" t="n">
        <v>100</v>
      </c>
      <c r="M481" s="10" t="n">
        <v>220</v>
      </c>
    </row>
    <row r="482" customFormat="false" ht="15" hidden="false" customHeight="false" outlineLevel="0" collapsed="false">
      <c r="A482" s="10" t="s">
        <v>1808</v>
      </c>
      <c r="B482" s="10" t="s">
        <v>395</v>
      </c>
      <c r="C482" s="10" t="s">
        <v>1809</v>
      </c>
      <c r="D482" s="10" t="s">
        <v>683</v>
      </c>
      <c r="E482" s="10" t="s">
        <v>304</v>
      </c>
      <c r="F482" s="10" t="n">
        <v>14</v>
      </c>
      <c r="G482" s="10" t="s">
        <v>618</v>
      </c>
      <c r="H482" s="10" t="n">
        <v>4</v>
      </c>
      <c r="I482" s="10" t="n">
        <v>2</v>
      </c>
      <c r="J482" s="10" t="n">
        <v>6</v>
      </c>
      <c r="K482" s="10" t="n">
        <v>96</v>
      </c>
      <c r="L482" s="10" t="n">
        <v>100</v>
      </c>
      <c r="M482" s="10" t="n">
        <v>157</v>
      </c>
    </row>
    <row r="483" customFormat="false" ht="15" hidden="false" customHeight="false" outlineLevel="0" collapsed="false">
      <c r="A483" s="10" t="s">
        <v>1810</v>
      </c>
      <c r="B483" s="10" t="s">
        <v>395</v>
      </c>
      <c r="C483" s="10" t="s">
        <v>1811</v>
      </c>
      <c r="D483" s="10" t="s">
        <v>683</v>
      </c>
      <c r="E483" s="10" t="s">
        <v>304</v>
      </c>
      <c r="F483" s="10" t="n">
        <v>14</v>
      </c>
      <c r="G483" s="10" t="s">
        <v>1812</v>
      </c>
      <c r="H483" s="10" t="n">
        <v>4</v>
      </c>
      <c r="I483" s="10" t="n">
        <v>2</v>
      </c>
      <c r="J483" s="10" t="n">
        <v>8</v>
      </c>
      <c r="K483" s="10" t="n">
        <v>97</v>
      </c>
      <c r="L483" s="10" t="n">
        <v>100</v>
      </c>
      <c r="M483" s="10" t="n">
        <v>158</v>
      </c>
    </row>
    <row r="484" customFormat="false" ht="15" hidden="false" customHeight="false" outlineLevel="0" collapsed="false">
      <c r="A484" s="10" t="s">
        <v>1813</v>
      </c>
      <c r="B484" s="10" t="s">
        <v>395</v>
      </c>
      <c r="C484" s="10" t="s">
        <v>1814</v>
      </c>
      <c r="D484" s="10" t="s">
        <v>683</v>
      </c>
      <c r="E484" s="10" t="s">
        <v>304</v>
      </c>
      <c r="F484" s="10" t="n">
        <v>14</v>
      </c>
      <c r="G484" s="10" t="s">
        <v>1724</v>
      </c>
      <c r="H484" s="10" t="n">
        <v>4</v>
      </c>
      <c r="I484" s="10" t="n">
        <v>2</v>
      </c>
      <c r="J484" s="10" t="n">
        <v>10</v>
      </c>
      <c r="K484" s="10" t="n">
        <v>96</v>
      </c>
      <c r="L484" s="10" t="n">
        <v>100</v>
      </c>
      <c r="M484" s="10" t="n">
        <v>150</v>
      </c>
    </row>
    <row r="485" customFormat="false" ht="15" hidden="false" customHeight="false" outlineLevel="0" collapsed="false">
      <c r="A485" s="10" t="s">
        <v>1815</v>
      </c>
      <c r="B485" s="10" t="s">
        <v>395</v>
      </c>
      <c r="C485" s="10" t="s">
        <v>1816</v>
      </c>
      <c r="D485" s="10" t="s">
        <v>683</v>
      </c>
      <c r="E485" s="10" t="s">
        <v>304</v>
      </c>
      <c r="F485" s="10" t="n">
        <v>14</v>
      </c>
      <c r="G485" s="10" t="s">
        <v>623</v>
      </c>
      <c r="H485" s="10" t="n">
        <v>4</v>
      </c>
      <c r="I485" s="10" t="n">
        <v>2</v>
      </c>
      <c r="J485" s="10" t="n">
        <v>8</v>
      </c>
      <c r="K485" s="10" t="n">
        <v>96</v>
      </c>
      <c r="L485" s="10" t="n">
        <v>100</v>
      </c>
      <c r="M485" s="10" t="n">
        <v>144</v>
      </c>
    </row>
    <row r="486" customFormat="false" ht="15" hidden="false" customHeight="false" outlineLevel="0" collapsed="false">
      <c r="A486" s="10" t="s">
        <v>1817</v>
      </c>
      <c r="B486" s="10" t="s">
        <v>395</v>
      </c>
      <c r="C486" s="10" t="s">
        <v>1818</v>
      </c>
      <c r="D486" s="10" t="s">
        <v>683</v>
      </c>
      <c r="E486" s="10" t="s">
        <v>304</v>
      </c>
      <c r="F486" s="10" t="n">
        <v>14</v>
      </c>
      <c r="G486" s="10" t="s">
        <v>618</v>
      </c>
      <c r="H486" s="10" t="n">
        <v>4</v>
      </c>
      <c r="I486" s="10" t="n">
        <v>2</v>
      </c>
      <c r="J486" s="10" t="n">
        <v>8</v>
      </c>
      <c r="K486" s="10" t="n">
        <v>96</v>
      </c>
      <c r="L486" s="10" t="n">
        <v>100</v>
      </c>
      <c r="M486" s="10" t="n">
        <v>170</v>
      </c>
    </row>
    <row r="487" customFormat="false" ht="15" hidden="false" customHeight="false" outlineLevel="0" collapsed="false">
      <c r="A487" s="10" t="s">
        <v>1819</v>
      </c>
      <c r="B487" s="10" t="s">
        <v>395</v>
      </c>
      <c r="C487" s="10" t="s">
        <v>1820</v>
      </c>
      <c r="D487" s="10" t="s">
        <v>683</v>
      </c>
      <c r="E487" s="10" t="s">
        <v>304</v>
      </c>
      <c r="F487" s="10" t="n">
        <v>14</v>
      </c>
      <c r="G487" s="10" t="s">
        <v>1006</v>
      </c>
      <c r="H487" s="10" t="n">
        <v>4</v>
      </c>
      <c r="I487" s="10" t="n">
        <v>2</v>
      </c>
      <c r="J487" s="10" t="n">
        <v>7</v>
      </c>
      <c r="K487" s="10" t="n">
        <v>96</v>
      </c>
      <c r="L487" s="10" t="n">
        <v>100</v>
      </c>
      <c r="M487" s="10" t="n">
        <v>149</v>
      </c>
    </row>
    <row r="488" customFormat="false" ht="15" hidden="false" customHeight="false" outlineLevel="0" collapsed="false">
      <c r="A488" s="10" t="s">
        <v>1821</v>
      </c>
      <c r="B488" s="10" t="s">
        <v>395</v>
      </c>
      <c r="C488" s="10" t="s">
        <v>1822</v>
      </c>
      <c r="D488" s="10" t="s">
        <v>683</v>
      </c>
      <c r="E488" s="10" t="s">
        <v>304</v>
      </c>
      <c r="F488" s="10" t="n">
        <v>14</v>
      </c>
      <c r="G488" s="10" t="s">
        <v>1006</v>
      </c>
      <c r="H488" s="10" t="n">
        <v>4</v>
      </c>
      <c r="I488" s="10" t="n">
        <v>2</v>
      </c>
      <c r="J488" s="10" t="n">
        <v>8</v>
      </c>
      <c r="K488" s="10" t="n">
        <v>96</v>
      </c>
      <c r="L488" s="10" t="n">
        <v>100</v>
      </c>
      <c r="M488" s="10" t="n">
        <v>146</v>
      </c>
    </row>
    <row r="489" customFormat="false" ht="15" hidden="false" customHeight="false" outlineLevel="0" collapsed="false">
      <c r="A489" s="10" t="s">
        <v>1823</v>
      </c>
      <c r="B489" s="10" t="s">
        <v>395</v>
      </c>
      <c r="C489" s="10" t="s">
        <v>1824</v>
      </c>
      <c r="D489" s="10" t="s">
        <v>683</v>
      </c>
      <c r="E489" s="10" t="s">
        <v>304</v>
      </c>
      <c r="F489" s="10" t="n">
        <v>14</v>
      </c>
      <c r="G489" s="10" t="s">
        <v>659</v>
      </c>
      <c r="H489" s="10" t="n">
        <v>4</v>
      </c>
      <c r="I489" s="10" t="n">
        <v>2</v>
      </c>
      <c r="J489" s="10" t="n">
        <v>9</v>
      </c>
      <c r="K489" s="10" t="n">
        <v>95</v>
      </c>
      <c r="L489" s="10" t="n">
        <v>100</v>
      </c>
      <c r="M489" s="10" t="n">
        <v>162</v>
      </c>
    </row>
    <row r="490" customFormat="false" ht="15" hidden="false" customHeight="false" outlineLevel="0" collapsed="false">
      <c r="A490" s="10" t="s">
        <v>1825</v>
      </c>
      <c r="B490" s="10" t="s">
        <v>395</v>
      </c>
      <c r="C490" s="10" t="s">
        <v>1826</v>
      </c>
      <c r="D490" s="10" t="s">
        <v>465</v>
      </c>
      <c r="E490" s="10" t="s">
        <v>791</v>
      </c>
      <c r="F490" s="10" t="n">
        <v>14</v>
      </c>
      <c r="G490" s="10" t="s">
        <v>1827</v>
      </c>
      <c r="H490" s="10" t="n">
        <v>4</v>
      </c>
      <c r="I490" s="10" t="n">
        <v>2</v>
      </c>
      <c r="J490" s="10" t="n">
        <v>4</v>
      </c>
      <c r="K490" s="10" t="n">
        <v>90</v>
      </c>
      <c r="L490" s="10" t="n">
        <v>50</v>
      </c>
      <c r="M490" s="10" t="n">
        <v>127</v>
      </c>
    </row>
    <row r="491" customFormat="false" ht="15" hidden="false" customHeight="false" outlineLevel="0" collapsed="false">
      <c r="A491" s="10" t="s">
        <v>1828</v>
      </c>
      <c r="B491" s="10" t="s">
        <v>395</v>
      </c>
      <c r="C491" s="10" t="s">
        <v>1829</v>
      </c>
      <c r="D491" s="10" t="s">
        <v>683</v>
      </c>
      <c r="E491" s="10" t="s">
        <v>103</v>
      </c>
      <c r="F491" s="10" t="n">
        <v>14</v>
      </c>
      <c r="G491" s="10" t="s">
        <v>1018</v>
      </c>
      <c r="H491" s="10" t="n">
        <v>4</v>
      </c>
      <c r="I491" s="10" t="n">
        <v>2</v>
      </c>
      <c r="J491" s="10" t="n">
        <v>5</v>
      </c>
      <c r="K491" s="10" t="n">
        <v>97</v>
      </c>
      <c r="L491" s="10" t="n">
        <v>100</v>
      </c>
      <c r="M491" s="10" t="n">
        <v>192</v>
      </c>
    </row>
    <row r="492" customFormat="false" ht="15" hidden="false" customHeight="false" outlineLevel="0" collapsed="false">
      <c r="A492" s="10" t="s">
        <v>1830</v>
      </c>
      <c r="B492" s="10" t="s">
        <v>395</v>
      </c>
      <c r="C492" s="10" t="s">
        <v>1831</v>
      </c>
      <c r="D492" s="10" t="s">
        <v>832</v>
      </c>
      <c r="E492" s="10"/>
      <c r="F492" s="10" t="n">
        <v>14</v>
      </c>
      <c r="G492" s="10" t="s">
        <v>1832</v>
      </c>
      <c r="H492" s="10" t="n">
        <v>4</v>
      </c>
      <c r="I492" s="10" t="n">
        <v>2</v>
      </c>
      <c r="J492" s="10" t="n">
        <v>4</v>
      </c>
      <c r="K492" s="10" t="n">
        <v>95</v>
      </c>
      <c r="L492" s="10" t="n">
        <v>100</v>
      </c>
      <c r="M492" s="10" t="n">
        <v>199</v>
      </c>
    </row>
    <row r="493" customFormat="false" ht="15" hidden="false" customHeight="false" outlineLevel="0" collapsed="false">
      <c r="A493" s="10" t="s">
        <v>1833</v>
      </c>
      <c r="B493" s="10" t="s">
        <v>395</v>
      </c>
      <c r="C493" s="10" t="s">
        <v>1834</v>
      </c>
      <c r="D493" s="10" t="s">
        <v>401</v>
      </c>
      <c r="E493" s="10" t="s">
        <v>196</v>
      </c>
      <c r="F493" s="10" t="n">
        <v>13</v>
      </c>
      <c r="G493" s="10" t="s">
        <v>1835</v>
      </c>
      <c r="H493" s="10" t="n">
        <v>4</v>
      </c>
      <c r="I493" s="10" t="n">
        <v>2</v>
      </c>
      <c r="J493" s="10" t="n">
        <v>4</v>
      </c>
      <c r="K493" s="10" t="n">
        <v>93</v>
      </c>
      <c r="L493" s="10" t="n">
        <v>75</v>
      </c>
      <c r="M493" s="10" t="n">
        <v>154</v>
      </c>
    </row>
    <row r="494" customFormat="false" ht="15" hidden="false" customHeight="false" outlineLevel="0" collapsed="false">
      <c r="A494" s="10" t="s">
        <v>1836</v>
      </c>
      <c r="B494" s="10" t="s">
        <v>395</v>
      </c>
      <c r="C494" s="10" t="s">
        <v>1837</v>
      </c>
      <c r="D494" s="10" t="s">
        <v>417</v>
      </c>
      <c r="E494" s="10" t="s">
        <v>139</v>
      </c>
      <c r="F494" s="10" t="n">
        <v>11</v>
      </c>
      <c r="G494" s="10" t="s">
        <v>723</v>
      </c>
      <c r="H494" s="10" t="n">
        <v>4</v>
      </c>
      <c r="I494" s="10" t="n">
        <v>2</v>
      </c>
      <c r="J494" s="10" t="n">
        <v>3</v>
      </c>
      <c r="K494" s="10" t="n">
        <v>99</v>
      </c>
      <c r="L494" s="10" t="n">
        <v>100</v>
      </c>
      <c r="M494" s="10" t="n">
        <v>188</v>
      </c>
    </row>
    <row r="495" customFormat="false" ht="15" hidden="false" customHeight="false" outlineLevel="0" collapsed="false">
      <c r="A495" s="10" t="s">
        <v>1838</v>
      </c>
      <c r="B495" s="10" t="s">
        <v>395</v>
      </c>
      <c r="C495" s="10" t="s">
        <v>1839</v>
      </c>
      <c r="D495" s="10" t="s">
        <v>683</v>
      </c>
      <c r="E495" s="10" t="s">
        <v>90</v>
      </c>
      <c r="F495" s="10" t="n">
        <v>12</v>
      </c>
      <c r="G495" s="10" t="s">
        <v>1840</v>
      </c>
      <c r="H495" s="10" t="n">
        <v>4</v>
      </c>
      <c r="I495" s="10" t="n">
        <v>2</v>
      </c>
      <c r="J495" s="10" t="n">
        <v>5</v>
      </c>
      <c r="K495" s="10" t="n">
        <v>96</v>
      </c>
      <c r="L495" s="10" t="n">
        <v>100</v>
      </c>
      <c r="M495" s="10" t="n">
        <v>110</v>
      </c>
    </row>
    <row r="496" customFormat="false" ht="15" hidden="false" customHeight="false" outlineLevel="0" collapsed="false">
      <c r="A496" s="10" t="s">
        <v>1841</v>
      </c>
      <c r="B496" s="10" t="s">
        <v>395</v>
      </c>
      <c r="C496" s="10" t="s">
        <v>1842</v>
      </c>
      <c r="D496" s="10" t="s">
        <v>413</v>
      </c>
      <c r="E496" s="10" t="s">
        <v>158</v>
      </c>
      <c r="F496" s="10" t="n">
        <v>14</v>
      </c>
      <c r="G496" s="10" t="s">
        <v>1843</v>
      </c>
      <c r="H496" s="10" t="n">
        <v>4</v>
      </c>
      <c r="I496" s="10" t="n">
        <v>2</v>
      </c>
      <c r="J496" s="10" t="n">
        <v>8</v>
      </c>
      <c r="K496" s="10" t="n">
        <v>98</v>
      </c>
      <c r="L496" s="10" t="n">
        <v>100</v>
      </c>
      <c r="M496" s="10" t="n">
        <v>262</v>
      </c>
    </row>
    <row r="497" customFormat="false" ht="15" hidden="false" customHeight="false" outlineLevel="0" collapsed="false">
      <c r="A497" s="10" t="s">
        <v>1844</v>
      </c>
      <c r="B497" s="10" t="s">
        <v>395</v>
      </c>
      <c r="C497" s="10" t="s">
        <v>1845</v>
      </c>
      <c r="D497" s="10" t="s">
        <v>450</v>
      </c>
      <c r="E497" s="10" t="s">
        <v>110</v>
      </c>
      <c r="F497" s="10" t="n">
        <v>14</v>
      </c>
      <c r="G497" s="10" t="s">
        <v>1846</v>
      </c>
      <c r="H497" s="10" t="n">
        <v>4</v>
      </c>
      <c r="I497" s="10" t="n">
        <v>2</v>
      </c>
      <c r="J497" s="10" t="n">
        <v>7</v>
      </c>
      <c r="K497" s="10" t="n">
        <v>92</v>
      </c>
      <c r="L497" s="10" t="n">
        <v>71</v>
      </c>
      <c r="M497" s="10" t="n">
        <v>155</v>
      </c>
    </row>
    <row r="498" customFormat="false" ht="15" hidden="false" customHeight="false" outlineLevel="0" collapsed="false">
      <c r="A498" s="10" t="s">
        <v>1847</v>
      </c>
      <c r="B498" s="10" t="s">
        <v>395</v>
      </c>
      <c r="C498" s="10" t="s">
        <v>1848</v>
      </c>
      <c r="D498" s="10" t="s">
        <v>450</v>
      </c>
      <c r="E498" s="10" t="s">
        <v>110</v>
      </c>
      <c r="F498" s="10" t="n">
        <v>14</v>
      </c>
      <c r="G498" s="10" t="s">
        <v>1849</v>
      </c>
      <c r="H498" s="10" t="n">
        <v>4</v>
      </c>
      <c r="I498" s="10" t="n">
        <v>2</v>
      </c>
      <c r="J498" s="10" t="n">
        <v>5</v>
      </c>
      <c r="K498" s="10" t="n">
        <v>92</v>
      </c>
      <c r="L498" s="10" t="n">
        <v>100</v>
      </c>
      <c r="M498" s="10" t="n">
        <v>152</v>
      </c>
    </row>
    <row r="499" customFormat="false" ht="15" hidden="false" customHeight="false" outlineLevel="0" collapsed="false">
      <c r="A499" s="10" t="s">
        <v>1850</v>
      </c>
      <c r="B499" s="10" t="s">
        <v>395</v>
      </c>
      <c r="C499" s="10" t="s">
        <v>1851</v>
      </c>
      <c r="D499" s="10" t="s">
        <v>499</v>
      </c>
      <c r="E499" s="10" t="s">
        <v>139</v>
      </c>
      <c r="F499" s="10" t="n">
        <v>13</v>
      </c>
      <c r="G499" s="10" t="s">
        <v>985</v>
      </c>
      <c r="H499" s="10" t="n">
        <v>4</v>
      </c>
      <c r="I499" s="10" t="n">
        <v>2</v>
      </c>
      <c r="J499" s="10" t="n">
        <v>8</v>
      </c>
      <c r="K499" s="10" t="n">
        <v>94</v>
      </c>
      <c r="L499" s="10" t="n">
        <v>88</v>
      </c>
      <c r="M499" s="10" t="n">
        <v>219</v>
      </c>
    </row>
    <row r="500" customFormat="false" ht="15" hidden="false" customHeight="false" outlineLevel="0" collapsed="false">
      <c r="A500" s="10" t="s">
        <v>1852</v>
      </c>
      <c r="B500" s="10" t="s">
        <v>395</v>
      </c>
      <c r="C500" s="10" t="s">
        <v>1853</v>
      </c>
      <c r="D500" s="10" t="s">
        <v>401</v>
      </c>
      <c r="E500" s="10" t="s">
        <v>196</v>
      </c>
      <c r="F500" s="10" t="n">
        <v>13</v>
      </c>
      <c r="G500" s="10" t="s">
        <v>1854</v>
      </c>
      <c r="H500" s="10" t="n">
        <v>4</v>
      </c>
      <c r="I500" s="10" t="n">
        <v>2</v>
      </c>
      <c r="J500" s="10" t="n">
        <v>3</v>
      </c>
      <c r="K500" s="10" t="n">
        <v>97</v>
      </c>
      <c r="L500" s="10" t="n">
        <v>100</v>
      </c>
      <c r="M500" s="10" t="n">
        <v>196</v>
      </c>
    </row>
    <row r="501" customFormat="false" ht="15" hidden="false" customHeight="false" outlineLevel="0" collapsed="false">
      <c r="A501" s="10" t="s">
        <v>1855</v>
      </c>
      <c r="B501" s="10" t="s">
        <v>395</v>
      </c>
      <c r="C501" s="10" t="s">
        <v>1856</v>
      </c>
      <c r="D501" s="10" t="s">
        <v>440</v>
      </c>
      <c r="E501" s="10" t="s">
        <v>203</v>
      </c>
      <c r="F501" s="10" t="n">
        <v>13</v>
      </c>
      <c r="G501" s="10" t="s">
        <v>1238</v>
      </c>
      <c r="H501" s="10" t="n">
        <v>4</v>
      </c>
      <c r="I501" s="10" t="n">
        <v>2</v>
      </c>
      <c r="J501" s="10" t="n">
        <v>4</v>
      </c>
      <c r="K501" s="10" t="n">
        <v>96</v>
      </c>
      <c r="L501" s="10" t="n">
        <v>100</v>
      </c>
      <c r="M501" s="10" t="n">
        <v>138</v>
      </c>
    </row>
    <row r="502" customFormat="false" ht="15" hidden="false" customHeight="false" outlineLevel="0" collapsed="false">
      <c r="A502" s="10" t="s">
        <v>1857</v>
      </c>
      <c r="B502" s="10" t="s">
        <v>395</v>
      </c>
      <c r="C502" s="10" t="s">
        <v>1858</v>
      </c>
      <c r="D502" s="10" t="s">
        <v>440</v>
      </c>
      <c r="E502" s="10" t="s">
        <v>203</v>
      </c>
      <c r="F502" s="10" t="n">
        <v>13</v>
      </c>
      <c r="G502" s="10" t="s">
        <v>1859</v>
      </c>
      <c r="H502" s="10" t="n">
        <v>4</v>
      </c>
      <c r="I502" s="10" t="n">
        <v>2</v>
      </c>
      <c r="J502" s="10" t="n">
        <v>4</v>
      </c>
      <c r="K502" s="10" t="n">
        <v>98</v>
      </c>
      <c r="L502" s="10" t="n">
        <v>100</v>
      </c>
      <c r="M502" s="10" t="n">
        <v>177</v>
      </c>
    </row>
    <row r="503" customFormat="false" ht="15" hidden="false" customHeight="false" outlineLevel="0" collapsed="false">
      <c r="A503" s="10" t="s">
        <v>1860</v>
      </c>
      <c r="B503" s="10" t="s">
        <v>395</v>
      </c>
      <c r="C503" s="10" t="s">
        <v>1861</v>
      </c>
      <c r="D503" s="10" t="s">
        <v>413</v>
      </c>
      <c r="E503" s="10" t="s">
        <v>152</v>
      </c>
      <c r="F503" s="10" t="n">
        <v>11</v>
      </c>
      <c r="G503" s="10" t="s">
        <v>1862</v>
      </c>
      <c r="H503" s="10" t="n">
        <v>4</v>
      </c>
      <c r="I503" s="10" t="n">
        <v>2</v>
      </c>
      <c r="J503" s="10" t="n">
        <v>3</v>
      </c>
      <c r="K503" s="10" t="n">
        <v>98</v>
      </c>
      <c r="L503" s="10" t="n">
        <v>100</v>
      </c>
      <c r="M503" s="10" t="n">
        <v>152</v>
      </c>
    </row>
    <row r="504" customFormat="false" ht="15" hidden="false" customHeight="false" outlineLevel="0" collapsed="false">
      <c r="A504" s="10" t="s">
        <v>1863</v>
      </c>
      <c r="B504" s="10" t="s">
        <v>395</v>
      </c>
      <c r="C504" s="10" t="s">
        <v>1864</v>
      </c>
      <c r="D504" s="10" t="s">
        <v>401</v>
      </c>
      <c r="E504" s="10" t="s">
        <v>196</v>
      </c>
      <c r="F504" s="10" t="n">
        <v>14</v>
      </c>
      <c r="G504" s="10" t="s">
        <v>1865</v>
      </c>
      <c r="H504" s="10" t="n">
        <v>4</v>
      </c>
      <c r="I504" s="10" t="n">
        <v>2</v>
      </c>
      <c r="J504" s="10" t="n">
        <v>5</v>
      </c>
      <c r="K504" s="10" t="n">
        <v>92</v>
      </c>
      <c r="L504" s="10" t="n">
        <v>60</v>
      </c>
      <c r="M504" s="10" t="n">
        <v>176</v>
      </c>
    </row>
    <row r="505" customFormat="false" ht="15" hidden="false" customHeight="false" outlineLevel="0" collapsed="false">
      <c r="A505" s="10" t="s">
        <v>1866</v>
      </c>
      <c r="B505" s="10" t="s">
        <v>395</v>
      </c>
      <c r="C505" s="10" t="s">
        <v>1867</v>
      </c>
      <c r="D505" s="10" t="s">
        <v>405</v>
      </c>
      <c r="E505" s="10" t="s">
        <v>226</v>
      </c>
      <c r="F505" s="10" t="n">
        <v>14</v>
      </c>
      <c r="G505" s="10" t="s">
        <v>1868</v>
      </c>
      <c r="H505" s="10" t="n">
        <v>4</v>
      </c>
      <c r="I505" s="10" t="n">
        <v>2</v>
      </c>
      <c r="J505" s="10" t="n">
        <v>7</v>
      </c>
      <c r="K505" s="10" t="n">
        <v>97</v>
      </c>
      <c r="L505" s="10" t="n">
        <v>100</v>
      </c>
      <c r="M505" s="10" t="n">
        <v>290</v>
      </c>
    </row>
    <row r="506" customFormat="false" ht="15" hidden="false" customHeight="false" outlineLevel="0" collapsed="false">
      <c r="A506" s="10" t="s">
        <v>1869</v>
      </c>
      <c r="B506" s="10" t="s">
        <v>395</v>
      </c>
      <c r="C506" s="10" t="s">
        <v>1870</v>
      </c>
      <c r="D506" s="10" t="s">
        <v>499</v>
      </c>
      <c r="E506" s="10"/>
      <c r="F506" s="10" t="n">
        <v>15</v>
      </c>
      <c r="G506" s="10" t="s">
        <v>1871</v>
      </c>
      <c r="H506" s="10" t="n">
        <v>5</v>
      </c>
      <c r="I506" s="10" t="n">
        <v>2</v>
      </c>
      <c r="J506" s="10" t="n">
        <v>8</v>
      </c>
      <c r="K506" s="10" t="n">
        <v>94</v>
      </c>
      <c r="L506" s="10" t="n">
        <v>88</v>
      </c>
      <c r="M506" s="10" t="n">
        <v>272</v>
      </c>
    </row>
    <row r="507" customFormat="false" ht="15" hidden="false" customHeight="false" outlineLevel="0" collapsed="false">
      <c r="A507" s="10" t="s">
        <v>1872</v>
      </c>
      <c r="B507" s="10" t="s">
        <v>395</v>
      </c>
      <c r="C507" s="10" t="s">
        <v>1873</v>
      </c>
      <c r="D507" s="10" t="s">
        <v>499</v>
      </c>
      <c r="E507" s="10" t="s">
        <v>240</v>
      </c>
      <c r="F507" s="10" t="n">
        <v>13</v>
      </c>
      <c r="G507" s="10" t="s">
        <v>1874</v>
      </c>
      <c r="H507" s="10" t="n">
        <v>4</v>
      </c>
      <c r="I507" s="10" t="n">
        <v>2</v>
      </c>
      <c r="J507" s="10" t="n">
        <v>7</v>
      </c>
      <c r="K507" s="10" t="n">
        <v>93</v>
      </c>
      <c r="L507" s="10" t="n">
        <v>57</v>
      </c>
      <c r="M507" s="10" t="n">
        <v>227</v>
      </c>
    </row>
    <row r="508" customFormat="false" ht="15" hidden="false" customHeight="false" outlineLevel="0" collapsed="false">
      <c r="A508" s="10" t="s">
        <v>1875</v>
      </c>
      <c r="B508" s="10" t="s">
        <v>395</v>
      </c>
      <c r="C508" s="10" t="s">
        <v>1876</v>
      </c>
      <c r="D508" s="10" t="s">
        <v>401</v>
      </c>
      <c r="E508" s="10" t="s">
        <v>196</v>
      </c>
      <c r="F508" s="10" t="n">
        <v>12</v>
      </c>
      <c r="G508" s="10" t="s">
        <v>1840</v>
      </c>
      <c r="H508" s="10" t="n">
        <v>4</v>
      </c>
      <c r="I508" s="10" t="n">
        <v>2</v>
      </c>
      <c r="J508" s="10" t="n">
        <v>4</v>
      </c>
      <c r="K508" s="10" t="n">
        <v>94</v>
      </c>
      <c r="L508" s="10" t="n">
        <v>100</v>
      </c>
      <c r="M508" s="10" t="n">
        <v>246</v>
      </c>
    </row>
    <row r="509" customFormat="false" ht="15" hidden="false" customHeight="false" outlineLevel="0" collapsed="false">
      <c r="A509" s="10" t="s">
        <v>1877</v>
      </c>
      <c r="B509" s="10" t="s">
        <v>395</v>
      </c>
      <c r="C509" s="10" t="s">
        <v>1878</v>
      </c>
      <c r="D509" s="10" t="s">
        <v>428</v>
      </c>
      <c r="E509" s="10" t="s">
        <v>123</v>
      </c>
      <c r="F509" s="10" t="n">
        <v>11</v>
      </c>
      <c r="G509" s="10" t="s">
        <v>1879</v>
      </c>
      <c r="H509" s="10" t="n">
        <v>5</v>
      </c>
      <c r="I509" s="10" t="n">
        <v>2</v>
      </c>
      <c r="J509" s="10" t="n">
        <v>5</v>
      </c>
      <c r="K509" s="10" t="n">
        <v>98</v>
      </c>
      <c r="L509" s="10" t="n">
        <v>100</v>
      </c>
      <c r="M509" s="10" t="n">
        <v>221</v>
      </c>
    </row>
    <row r="510" customFormat="false" ht="15" hidden="false" customHeight="false" outlineLevel="0" collapsed="false">
      <c r="A510" s="10" t="s">
        <v>1880</v>
      </c>
      <c r="B510" s="10" t="s">
        <v>395</v>
      </c>
      <c r="C510" s="10" t="s">
        <v>1881</v>
      </c>
      <c r="D510" s="10" t="s">
        <v>433</v>
      </c>
      <c r="E510" s="10" t="s">
        <v>146</v>
      </c>
      <c r="F510" s="10" t="n">
        <v>14</v>
      </c>
      <c r="G510" s="10" t="s">
        <v>1882</v>
      </c>
      <c r="H510" s="10" t="n">
        <v>4</v>
      </c>
      <c r="I510" s="10" t="n">
        <v>2</v>
      </c>
      <c r="J510" s="10" t="n">
        <v>7</v>
      </c>
      <c r="K510" s="10" t="n">
        <v>91</v>
      </c>
      <c r="L510" s="10" t="n">
        <v>71</v>
      </c>
      <c r="M510" s="10" t="n">
        <v>159</v>
      </c>
    </row>
    <row r="511" customFormat="false" ht="15" hidden="false" customHeight="false" outlineLevel="0" collapsed="false">
      <c r="A511" s="10" t="s">
        <v>1883</v>
      </c>
      <c r="B511" s="10" t="s">
        <v>395</v>
      </c>
      <c r="C511" s="10" t="s">
        <v>1884</v>
      </c>
      <c r="D511" s="10" t="s">
        <v>832</v>
      </c>
      <c r="E511" s="10" t="s">
        <v>184</v>
      </c>
      <c r="F511" s="10" t="n">
        <v>14</v>
      </c>
      <c r="G511" s="10" t="s">
        <v>1885</v>
      </c>
      <c r="H511" s="10" t="n">
        <v>4</v>
      </c>
      <c r="I511" s="10" t="n">
        <v>2</v>
      </c>
      <c r="J511" s="10" t="n">
        <v>8</v>
      </c>
      <c r="K511" s="10" t="n">
        <v>98</v>
      </c>
      <c r="L511" s="10" t="n">
        <v>100</v>
      </c>
      <c r="M511" s="10" t="n">
        <v>230</v>
      </c>
    </row>
    <row r="512" customFormat="false" ht="15" hidden="false" customHeight="false" outlineLevel="0" collapsed="false">
      <c r="A512" s="10" t="s">
        <v>1886</v>
      </c>
      <c r="B512" s="10" t="s">
        <v>395</v>
      </c>
      <c r="C512" s="10" t="s">
        <v>1887</v>
      </c>
      <c r="D512" s="10" t="s">
        <v>832</v>
      </c>
      <c r="E512" s="10" t="s">
        <v>184</v>
      </c>
      <c r="F512" s="10" t="n">
        <v>14</v>
      </c>
      <c r="G512" s="10" t="s">
        <v>1888</v>
      </c>
      <c r="H512" s="10" t="n">
        <v>4</v>
      </c>
      <c r="I512" s="10" t="n">
        <v>2</v>
      </c>
      <c r="J512" s="10" t="n">
        <v>5</v>
      </c>
      <c r="K512" s="10" t="n">
        <v>96</v>
      </c>
      <c r="L512" s="10" t="n">
        <v>100</v>
      </c>
      <c r="M512" s="10" t="n">
        <v>240</v>
      </c>
    </row>
    <row r="513" customFormat="false" ht="15" hidden="false" customHeight="false" outlineLevel="0" collapsed="false">
      <c r="A513" s="10" t="s">
        <v>1889</v>
      </c>
      <c r="B513" s="10" t="s">
        <v>395</v>
      </c>
      <c r="C513" s="10" t="s">
        <v>1890</v>
      </c>
      <c r="D513" s="10" t="s">
        <v>832</v>
      </c>
      <c r="E513" s="10" t="s">
        <v>184</v>
      </c>
      <c r="F513" s="10" t="n">
        <v>14</v>
      </c>
      <c r="G513" s="10" t="s">
        <v>1874</v>
      </c>
      <c r="H513" s="10" t="n">
        <v>4</v>
      </c>
      <c r="I513" s="10" t="n">
        <v>2</v>
      </c>
      <c r="J513" s="10" t="n">
        <v>6</v>
      </c>
      <c r="K513" s="10" t="n">
        <v>97</v>
      </c>
      <c r="L513" s="10" t="n">
        <v>100</v>
      </c>
      <c r="M513" s="10" t="n">
        <v>236</v>
      </c>
    </row>
    <row r="514" customFormat="false" ht="15" hidden="false" customHeight="false" outlineLevel="0" collapsed="false">
      <c r="A514" s="10" t="s">
        <v>1891</v>
      </c>
      <c r="B514" s="10" t="s">
        <v>395</v>
      </c>
      <c r="C514" s="10" t="s">
        <v>1892</v>
      </c>
      <c r="D514" s="10" t="s">
        <v>832</v>
      </c>
      <c r="E514" s="10" t="s">
        <v>184</v>
      </c>
      <c r="F514" s="10" t="n">
        <v>14</v>
      </c>
      <c r="G514" s="10" t="s">
        <v>1893</v>
      </c>
      <c r="H514" s="10" t="n">
        <v>4</v>
      </c>
      <c r="I514" s="10" t="n">
        <v>2</v>
      </c>
      <c r="J514" s="10" t="n">
        <v>6</v>
      </c>
      <c r="K514" s="10" t="n">
        <v>98</v>
      </c>
      <c r="L514" s="10" t="n">
        <v>100</v>
      </c>
      <c r="M514" s="10" t="n">
        <v>235</v>
      </c>
    </row>
    <row r="515" customFormat="false" ht="15" hidden="false" customHeight="false" outlineLevel="0" collapsed="false">
      <c r="A515" s="10" t="s">
        <v>1894</v>
      </c>
      <c r="B515" s="10" t="s">
        <v>395</v>
      </c>
      <c r="C515" s="10" t="s">
        <v>1895</v>
      </c>
      <c r="D515" s="10" t="s">
        <v>832</v>
      </c>
      <c r="E515" s="10" t="s">
        <v>184</v>
      </c>
      <c r="F515" s="10" t="n">
        <v>14</v>
      </c>
      <c r="G515" s="10" t="s">
        <v>1896</v>
      </c>
      <c r="H515" s="10" t="n">
        <v>4</v>
      </c>
      <c r="I515" s="10" t="n">
        <v>2</v>
      </c>
      <c r="J515" s="10" t="n">
        <v>6</v>
      </c>
      <c r="K515" s="10" t="n">
        <v>98</v>
      </c>
      <c r="L515" s="10" t="n">
        <v>100</v>
      </c>
      <c r="M515" s="10" t="n">
        <v>241</v>
      </c>
    </row>
    <row r="516" customFormat="false" ht="15" hidden="false" customHeight="false" outlineLevel="0" collapsed="false">
      <c r="A516" s="10" t="s">
        <v>1897</v>
      </c>
      <c r="B516" s="10" t="s">
        <v>395</v>
      </c>
      <c r="C516" s="10" t="s">
        <v>1898</v>
      </c>
      <c r="D516" s="10" t="s">
        <v>832</v>
      </c>
      <c r="E516" s="10" t="s">
        <v>184</v>
      </c>
      <c r="F516" s="10" t="n">
        <v>14</v>
      </c>
      <c r="G516" s="10" t="s">
        <v>1899</v>
      </c>
      <c r="H516" s="10" t="n">
        <v>4</v>
      </c>
      <c r="I516" s="10" t="n">
        <v>2</v>
      </c>
      <c r="J516" s="10" t="n">
        <v>8</v>
      </c>
      <c r="K516" s="10" t="n">
        <v>98</v>
      </c>
      <c r="L516" s="10" t="n">
        <v>100</v>
      </c>
      <c r="M516" s="10" t="n">
        <v>247</v>
      </c>
    </row>
    <row r="517" customFormat="false" ht="15" hidden="false" customHeight="false" outlineLevel="0" collapsed="false">
      <c r="A517" s="10" t="s">
        <v>1900</v>
      </c>
      <c r="B517" s="10" t="s">
        <v>395</v>
      </c>
      <c r="C517" s="10" t="s">
        <v>1901</v>
      </c>
      <c r="D517" s="10" t="s">
        <v>832</v>
      </c>
      <c r="E517" s="10" t="s">
        <v>184</v>
      </c>
      <c r="F517" s="10" t="n">
        <v>14</v>
      </c>
      <c r="G517" s="10" t="s">
        <v>1902</v>
      </c>
      <c r="H517" s="10" t="n">
        <v>4</v>
      </c>
      <c r="I517" s="10" t="n">
        <v>2</v>
      </c>
      <c r="J517" s="10" t="n">
        <v>7</v>
      </c>
      <c r="K517" s="10" t="n">
        <v>97</v>
      </c>
      <c r="L517" s="10" t="n">
        <v>100</v>
      </c>
      <c r="M517" s="10" t="n">
        <v>272</v>
      </c>
    </row>
    <row r="518" customFormat="false" ht="15" hidden="false" customHeight="false" outlineLevel="0" collapsed="false">
      <c r="A518" s="10" t="s">
        <v>1903</v>
      </c>
      <c r="B518" s="10" t="s">
        <v>395</v>
      </c>
      <c r="C518" s="10" t="s">
        <v>1904</v>
      </c>
      <c r="D518" s="10" t="s">
        <v>832</v>
      </c>
      <c r="E518" s="10" t="s">
        <v>184</v>
      </c>
      <c r="F518" s="10" t="n">
        <v>14</v>
      </c>
      <c r="G518" s="10" t="s">
        <v>1899</v>
      </c>
      <c r="H518" s="10" t="n">
        <v>4</v>
      </c>
      <c r="I518" s="10" t="n">
        <v>2</v>
      </c>
      <c r="J518" s="10" t="n">
        <v>7</v>
      </c>
      <c r="K518" s="10" t="n">
        <v>98</v>
      </c>
      <c r="L518" s="10" t="n">
        <v>100</v>
      </c>
      <c r="M518" s="10" t="n">
        <v>243</v>
      </c>
    </row>
    <row r="519" customFormat="false" ht="15" hidden="false" customHeight="false" outlineLevel="0" collapsed="false">
      <c r="A519" s="10" t="s">
        <v>1905</v>
      </c>
      <c r="B519" s="10" t="s">
        <v>395</v>
      </c>
      <c r="C519" s="10" t="s">
        <v>1906</v>
      </c>
      <c r="D519" s="10" t="s">
        <v>401</v>
      </c>
      <c r="E519" s="10" t="s">
        <v>196</v>
      </c>
      <c r="F519" s="10" t="n">
        <v>13</v>
      </c>
      <c r="G519" s="10" t="s">
        <v>1907</v>
      </c>
      <c r="H519" s="10" t="n">
        <v>4</v>
      </c>
      <c r="I519" s="10" t="n">
        <v>2</v>
      </c>
      <c r="J519" s="10" t="n">
        <v>5</v>
      </c>
      <c r="K519" s="10" t="n">
        <v>93</v>
      </c>
      <c r="L519" s="10" t="n">
        <v>80</v>
      </c>
      <c r="M519" s="10" t="n">
        <v>151</v>
      </c>
    </row>
    <row r="520" customFormat="false" ht="15" hidden="false" customHeight="false" outlineLevel="0" collapsed="false">
      <c r="A520" s="10" t="s">
        <v>1908</v>
      </c>
      <c r="B520" s="10" t="s">
        <v>395</v>
      </c>
      <c r="C520" s="10" t="s">
        <v>1909</v>
      </c>
      <c r="D520" s="10" t="s">
        <v>417</v>
      </c>
      <c r="E520" s="10" t="s">
        <v>1910</v>
      </c>
      <c r="F520" s="10" t="n">
        <v>13</v>
      </c>
      <c r="G520" s="10" t="s">
        <v>1911</v>
      </c>
      <c r="H520" s="10" t="n">
        <v>4</v>
      </c>
      <c r="I520" s="10" t="n">
        <v>2</v>
      </c>
      <c r="J520" s="10" t="n">
        <v>6</v>
      </c>
      <c r="K520" s="10" t="n">
        <v>92</v>
      </c>
      <c r="L520" s="10" t="n">
        <v>83</v>
      </c>
      <c r="M520" s="10" t="n">
        <v>243</v>
      </c>
    </row>
    <row r="521" customFormat="false" ht="15" hidden="false" customHeight="false" outlineLevel="0" collapsed="false">
      <c r="A521" s="10" t="s">
        <v>1912</v>
      </c>
      <c r="B521" s="10" t="s">
        <v>395</v>
      </c>
      <c r="C521" s="10" t="s">
        <v>1913</v>
      </c>
      <c r="D521" s="10" t="s">
        <v>461</v>
      </c>
      <c r="E521" s="10" t="s">
        <v>129</v>
      </c>
      <c r="F521" s="10" t="n">
        <v>11</v>
      </c>
      <c r="G521" s="10" t="s">
        <v>1914</v>
      </c>
      <c r="H521" s="10" t="n">
        <v>5</v>
      </c>
      <c r="I521" s="10" t="n">
        <v>2</v>
      </c>
      <c r="J521" s="10" t="n">
        <v>6</v>
      </c>
      <c r="K521" s="10" t="n">
        <v>98</v>
      </c>
      <c r="L521" s="10" t="n">
        <v>100</v>
      </c>
      <c r="M521" s="10" t="n">
        <v>282</v>
      </c>
    </row>
    <row r="522" customFormat="false" ht="15" hidden="false" customHeight="false" outlineLevel="0" collapsed="false">
      <c r="A522" s="10" t="s">
        <v>1915</v>
      </c>
      <c r="B522" s="10" t="s">
        <v>395</v>
      </c>
      <c r="C522" s="10" t="s">
        <v>1916</v>
      </c>
      <c r="D522" s="10" t="s">
        <v>397</v>
      </c>
      <c r="E522" s="10" t="s">
        <v>139</v>
      </c>
      <c r="F522" s="10" t="n">
        <v>14</v>
      </c>
      <c r="G522" s="10" t="s">
        <v>466</v>
      </c>
      <c r="H522" s="10" t="n">
        <v>4</v>
      </c>
      <c r="I522" s="10" t="n">
        <v>2</v>
      </c>
      <c r="J522" s="10" t="n">
        <v>7</v>
      </c>
      <c r="K522" s="10" t="n">
        <v>95</v>
      </c>
      <c r="L522" s="10" t="n">
        <v>86</v>
      </c>
      <c r="M522" s="10" t="n">
        <v>262</v>
      </c>
    </row>
    <row r="523" customFormat="false" ht="15" hidden="false" customHeight="false" outlineLevel="0" collapsed="false">
      <c r="A523" s="10" t="s">
        <v>1917</v>
      </c>
      <c r="B523" s="10" t="s">
        <v>395</v>
      </c>
      <c r="C523" s="10" t="s">
        <v>1918</v>
      </c>
      <c r="D523" s="10" t="s">
        <v>413</v>
      </c>
      <c r="E523" s="10" t="s">
        <v>158</v>
      </c>
      <c r="F523" s="10" t="n">
        <v>15</v>
      </c>
      <c r="G523" s="10" t="s">
        <v>813</v>
      </c>
      <c r="H523" s="10" t="n">
        <v>4</v>
      </c>
      <c r="I523" s="10" t="n">
        <v>2</v>
      </c>
      <c r="J523" s="10" t="n">
        <v>9</v>
      </c>
      <c r="K523" s="10" t="n">
        <v>98</v>
      </c>
      <c r="L523" s="10" t="n">
        <v>100</v>
      </c>
      <c r="M523" s="10" t="n">
        <v>248</v>
      </c>
    </row>
    <row r="524" customFormat="false" ht="15" hidden="false" customHeight="false" outlineLevel="0" collapsed="false">
      <c r="A524" s="10" t="s">
        <v>1919</v>
      </c>
      <c r="B524" s="10" t="s">
        <v>395</v>
      </c>
      <c r="C524" s="10" t="s">
        <v>1920</v>
      </c>
      <c r="D524" s="10" t="s">
        <v>433</v>
      </c>
      <c r="E524" s="10" t="s">
        <v>191</v>
      </c>
      <c r="F524" s="10" t="n">
        <v>13</v>
      </c>
      <c r="G524" s="10" t="s">
        <v>1921</v>
      </c>
      <c r="H524" s="10" t="n">
        <v>4</v>
      </c>
      <c r="I524" s="10" t="n">
        <v>2</v>
      </c>
      <c r="J524" s="10" t="n">
        <v>4</v>
      </c>
      <c r="K524" s="10" t="n">
        <v>92</v>
      </c>
      <c r="L524" s="10" t="n">
        <v>75</v>
      </c>
      <c r="M524" s="10" t="n">
        <v>168</v>
      </c>
    </row>
    <row r="525" customFormat="false" ht="15" hidden="false" customHeight="false" outlineLevel="0" collapsed="false">
      <c r="A525" s="10" t="s">
        <v>1922</v>
      </c>
      <c r="B525" s="10" t="s">
        <v>395</v>
      </c>
      <c r="C525" s="10" t="s">
        <v>1923</v>
      </c>
      <c r="D525" s="10" t="s">
        <v>499</v>
      </c>
      <c r="E525" s="10" t="s">
        <v>240</v>
      </c>
      <c r="F525" s="10" t="n">
        <v>13</v>
      </c>
      <c r="G525" s="10" t="s">
        <v>1924</v>
      </c>
      <c r="H525" s="10" t="n">
        <v>4</v>
      </c>
      <c r="I525" s="10" t="n">
        <v>2</v>
      </c>
      <c r="J525" s="10" t="n">
        <v>4</v>
      </c>
      <c r="K525" s="10" t="n">
        <v>98</v>
      </c>
      <c r="L525" s="10" t="n">
        <v>100</v>
      </c>
      <c r="M525" s="10" t="n">
        <v>191</v>
      </c>
    </row>
    <row r="526" customFormat="false" ht="15" hidden="false" customHeight="false" outlineLevel="0" collapsed="false">
      <c r="A526" s="10" t="s">
        <v>1925</v>
      </c>
      <c r="B526" s="10" t="s">
        <v>395</v>
      </c>
      <c r="C526" s="10" t="s">
        <v>1926</v>
      </c>
      <c r="D526" s="10" t="s">
        <v>409</v>
      </c>
      <c r="E526" s="10"/>
      <c r="F526" s="10" t="n">
        <v>14</v>
      </c>
      <c r="G526" s="10" t="s">
        <v>1927</v>
      </c>
      <c r="H526" s="10" t="n">
        <v>5</v>
      </c>
      <c r="I526" s="10" t="n">
        <v>2</v>
      </c>
      <c r="J526" s="10" t="n">
        <v>6</v>
      </c>
      <c r="K526" s="10" t="n">
        <v>99</v>
      </c>
      <c r="L526" s="10" t="n">
        <v>100</v>
      </c>
      <c r="M526" s="10" t="n">
        <v>195</v>
      </c>
    </row>
    <row r="527" customFormat="false" ht="15" hidden="false" customHeight="false" outlineLevel="0" collapsed="false">
      <c r="A527" s="10" t="s">
        <v>1928</v>
      </c>
      <c r="B527" s="10" t="s">
        <v>395</v>
      </c>
      <c r="C527" s="10" t="s">
        <v>1929</v>
      </c>
      <c r="D527" s="10" t="s">
        <v>417</v>
      </c>
      <c r="E527" s="10" t="s">
        <v>247</v>
      </c>
      <c r="F527" s="10" t="n">
        <v>15</v>
      </c>
      <c r="G527" s="10" t="s">
        <v>1930</v>
      </c>
      <c r="H527" s="10" t="n">
        <v>4</v>
      </c>
      <c r="I527" s="10" t="n">
        <v>2</v>
      </c>
      <c r="J527" s="10" t="n">
        <v>4</v>
      </c>
      <c r="K527" s="10" t="n">
        <v>95</v>
      </c>
      <c r="L527" s="10" t="n">
        <v>100</v>
      </c>
      <c r="M527" s="10" t="n">
        <v>267</v>
      </c>
    </row>
    <row r="528" customFormat="false" ht="15" hidden="false" customHeight="false" outlineLevel="0" collapsed="false">
      <c r="A528" s="10" t="s">
        <v>1931</v>
      </c>
      <c r="B528" s="10" t="s">
        <v>395</v>
      </c>
      <c r="C528" s="10" t="s">
        <v>1932</v>
      </c>
      <c r="D528" s="10" t="s">
        <v>465</v>
      </c>
      <c r="E528" s="10" t="s">
        <v>133</v>
      </c>
      <c r="F528" s="10" t="n">
        <v>14</v>
      </c>
      <c r="G528" s="10" t="s">
        <v>1376</v>
      </c>
      <c r="H528" s="10" t="n">
        <v>4</v>
      </c>
      <c r="I528" s="10" t="n">
        <v>2</v>
      </c>
      <c r="J528" s="10" t="n">
        <v>6</v>
      </c>
      <c r="K528" s="10" t="n">
        <v>97</v>
      </c>
      <c r="L528" s="10" t="n">
        <v>100</v>
      </c>
      <c r="M528" s="10" t="n">
        <v>231</v>
      </c>
    </row>
    <row r="529" customFormat="false" ht="15" hidden="false" customHeight="false" outlineLevel="0" collapsed="false">
      <c r="A529" s="10" t="s">
        <v>1933</v>
      </c>
      <c r="B529" s="10" t="s">
        <v>395</v>
      </c>
      <c r="C529" s="10" t="s">
        <v>1934</v>
      </c>
      <c r="D529" s="10" t="s">
        <v>465</v>
      </c>
      <c r="E529" s="10" t="s">
        <v>133</v>
      </c>
      <c r="F529" s="10" t="n">
        <v>11</v>
      </c>
      <c r="G529" s="10" t="s">
        <v>1935</v>
      </c>
      <c r="H529" s="10" t="n">
        <v>5</v>
      </c>
      <c r="I529" s="10" t="n">
        <v>2</v>
      </c>
      <c r="J529" s="10" t="n">
        <v>6</v>
      </c>
      <c r="K529" s="10" t="n">
        <v>96</v>
      </c>
      <c r="L529" s="10" t="n">
        <v>100</v>
      </c>
      <c r="M529" s="10" t="n">
        <v>246</v>
      </c>
    </row>
    <row r="530" customFormat="false" ht="15" hidden="false" customHeight="false" outlineLevel="0" collapsed="false">
      <c r="A530" s="10" t="s">
        <v>1936</v>
      </c>
      <c r="B530" s="10" t="s">
        <v>395</v>
      </c>
      <c r="C530" s="10" t="s">
        <v>1937</v>
      </c>
      <c r="D530" s="10" t="s">
        <v>683</v>
      </c>
      <c r="E530" s="10" t="s">
        <v>1938</v>
      </c>
      <c r="F530" s="10" t="n">
        <v>12</v>
      </c>
      <c r="G530" s="10" t="s">
        <v>1939</v>
      </c>
      <c r="H530" s="10" t="n">
        <v>4</v>
      </c>
      <c r="I530" s="10" t="n">
        <v>2</v>
      </c>
      <c r="J530" s="10" t="n">
        <v>4</v>
      </c>
      <c r="K530" s="10" t="n">
        <v>94</v>
      </c>
      <c r="L530" s="10" t="n">
        <v>100</v>
      </c>
      <c r="M530" s="10" t="n">
        <v>111</v>
      </c>
    </row>
    <row r="531" customFormat="false" ht="15" hidden="false" customHeight="false" outlineLevel="0" collapsed="false">
      <c r="A531" s="10" t="s">
        <v>1940</v>
      </c>
      <c r="B531" s="10" t="s">
        <v>395</v>
      </c>
      <c r="C531" s="10" t="s">
        <v>1941</v>
      </c>
      <c r="D531" s="10" t="s">
        <v>413</v>
      </c>
      <c r="E531" s="10" t="s">
        <v>158</v>
      </c>
      <c r="F531" s="10" t="n">
        <v>15</v>
      </c>
      <c r="G531" s="10" t="s">
        <v>1942</v>
      </c>
      <c r="H531" s="10" t="n">
        <v>4</v>
      </c>
      <c r="I531" s="10" t="n">
        <v>2</v>
      </c>
      <c r="J531" s="10" t="n">
        <v>7</v>
      </c>
      <c r="K531" s="10" t="n">
        <v>93</v>
      </c>
      <c r="L531" s="10" t="n">
        <v>86</v>
      </c>
      <c r="M531" s="10" t="n">
        <v>243</v>
      </c>
    </row>
    <row r="532" customFormat="false" ht="15" hidden="false" customHeight="false" outlineLevel="0" collapsed="false">
      <c r="A532" s="10" t="s">
        <v>1943</v>
      </c>
      <c r="B532" s="10" t="s">
        <v>395</v>
      </c>
      <c r="C532" s="10" t="s">
        <v>1944</v>
      </c>
      <c r="D532" s="10" t="s">
        <v>417</v>
      </c>
      <c r="E532" s="10" t="s">
        <v>1290</v>
      </c>
      <c r="F532" s="10" t="n">
        <v>11</v>
      </c>
      <c r="G532" s="10" t="s">
        <v>954</v>
      </c>
      <c r="H532" s="10" t="n">
        <v>4</v>
      </c>
      <c r="I532" s="10" t="n">
        <v>2</v>
      </c>
      <c r="J532" s="10" t="n">
        <v>4</v>
      </c>
      <c r="K532" s="10" t="n">
        <v>98</v>
      </c>
      <c r="L532" s="10" t="n">
        <v>100</v>
      </c>
      <c r="M532" s="10" t="n">
        <v>168</v>
      </c>
    </row>
    <row r="533" customFormat="false" ht="15" hidden="false" customHeight="false" outlineLevel="0" collapsed="false">
      <c r="A533" s="10" t="s">
        <v>1945</v>
      </c>
      <c r="B533" s="10" t="s">
        <v>395</v>
      </c>
      <c r="C533" s="10" t="s">
        <v>1946</v>
      </c>
      <c r="D533" s="10" t="s">
        <v>499</v>
      </c>
      <c r="E533" s="10" t="s">
        <v>240</v>
      </c>
      <c r="F533" s="10" t="n">
        <v>13</v>
      </c>
      <c r="G533" s="10" t="s">
        <v>1947</v>
      </c>
      <c r="H533" s="10" t="n">
        <v>4</v>
      </c>
      <c r="I533" s="10" t="n">
        <v>2</v>
      </c>
      <c r="J533" s="10" t="n">
        <v>3</v>
      </c>
      <c r="K533" s="10" t="n">
        <v>92</v>
      </c>
      <c r="L533" s="10" t="n">
        <v>67</v>
      </c>
      <c r="M533" s="10" t="n">
        <v>167</v>
      </c>
    </row>
    <row r="534" customFormat="false" ht="15" hidden="false" customHeight="false" outlineLevel="0" collapsed="false">
      <c r="A534" s="10" t="s">
        <v>1948</v>
      </c>
      <c r="B534" s="10" t="s">
        <v>395</v>
      </c>
      <c r="C534" s="10" t="s">
        <v>1949</v>
      </c>
      <c r="D534" s="10" t="s">
        <v>405</v>
      </c>
      <c r="E534" s="10" t="s">
        <v>226</v>
      </c>
      <c r="F534" s="10" t="n">
        <v>14</v>
      </c>
      <c r="G534" s="10" t="s">
        <v>1950</v>
      </c>
      <c r="H534" s="10" t="n">
        <v>4</v>
      </c>
      <c r="I534" s="10" t="n">
        <v>2</v>
      </c>
      <c r="J534" s="10" t="n">
        <v>7</v>
      </c>
      <c r="K534" s="10" t="n">
        <v>97</v>
      </c>
      <c r="L534" s="10" t="n">
        <v>100</v>
      </c>
      <c r="M534" s="10" t="n">
        <v>273</v>
      </c>
    </row>
    <row r="535" customFormat="false" ht="15" hidden="false" customHeight="false" outlineLevel="0" collapsed="false">
      <c r="A535" s="10" t="s">
        <v>1951</v>
      </c>
      <c r="B535" s="10" t="s">
        <v>395</v>
      </c>
      <c r="C535" s="10" t="s">
        <v>1952</v>
      </c>
      <c r="D535" s="10" t="s">
        <v>461</v>
      </c>
      <c r="E535" s="10" t="s">
        <v>1953</v>
      </c>
      <c r="F535" s="10" t="n">
        <v>11</v>
      </c>
      <c r="G535" s="10" t="s">
        <v>1954</v>
      </c>
      <c r="H535" s="10" t="n">
        <v>4</v>
      </c>
      <c r="I535" s="10" t="n">
        <v>2</v>
      </c>
      <c r="J535" s="10" t="n">
        <v>3</v>
      </c>
      <c r="K535" s="10" t="n">
        <v>97</v>
      </c>
      <c r="L535" s="10" t="n">
        <v>100</v>
      </c>
      <c r="M535" s="10" t="n">
        <v>171</v>
      </c>
    </row>
    <row r="536" customFormat="false" ht="15" hidden="false" customHeight="false" outlineLevel="0" collapsed="false">
      <c r="A536" s="10" t="s">
        <v>1955</v>
      </c>
      <c r="B536" s="10" t="s">
        <v>395</v>
      </c>
      <c r="C536" s="10" t="s">
        <v>1956</v>
      </c>
      <c r="D536" s="10" t="s">
        <v>679</v>
      </c>
      <c r="E536" s="10"/>
      <c r="F536" s="10" t="n">
        <v>15</v>
      </c>
      <c r="G536" s="10" t="s">
        <v>1957</v>
      </c>
      <c r="H536" s="10" t="n">
        <v>4</v>
      </c>
      <c r="I536" s="10" t="n">
        <v>2</v>
      </c>
      <c r="J536" s="10" t="n">
        <v>7</v>
      </c>
      <c r="K536" s="10" t="n">
        <v>95</v>
      </c>
      <c r="L536" s="10" t="n">
        <v>100</v>
      </c>
      <c r="M536" s="10" t="n">
        <v>225</v>
      </c>
    </row>
    <row r="537" customFormat="false" ht="15" hidden="false" customHeight="false" outlineLevel="0" collapsed="false">
      <c r="A537" s="10" t="s">
        <v>1958</v>
      </c>
      <c r="B537" s="10" t="s">
        <v>395</v>
      </c>
      <c r="C537" s="10" t="s">
        <v>1959</v>
      </c>
      <c r="D537" s="10" t="s">
        <v>428</v>
      </c>
      <c r="E537" s="10" t="s">
        <v>454</v>
      </c>
      <c r="F537" s="10" t="n">
        <v>14</v>
      </c>
      <c r="G537" s="10" t="s">
        <v>1960</v>
      </c>
      <c r="H537" s="10" t="n">
        <v>4</v>
      </c>
      <c r="I537" s="10" t="n">
        <v>2</v>
      </c>
      <c r="J537" s="10" t="n">
        <v>5</v>
      </c>
      <c r="K537" s="10" t="n">
        <v>97</v>
      </c>
      <c r="L537" s="10" t="n">
        <v>100</v>
      </c>
      <c r="M537" s="10" t="n">
        <v>287</v>
      </c>
    </row>
    <row r="538" customFormat="false" ht="15" hidden="false" customHeight="false" outlineLevel="0" collapsed="false">
      <c r="A538" s="10" t="s">
        <v>1961</v>
      </c>
      <c r="B538" s="10" t="s">
        <v>395</v>
      </c>
      <c r="C538" s="10" t="s">
        <v>1962</v>
      </c>
      <c r="D538" s="10" t="s">
        <v>428</v>
      </c>
      <c r="E538" s="10" t="s">
        <v>454</v>
      </c>
      <c r="F538" s="10" t="n">
        <v>13</v>
      </c>
      <c r="G538" s="10" t="s">
        <v>645</v>
      </c>
      <c r="H538" s="10" t="n">
        <v>4</v>
      </c>
      <c r="I538" s="10" t="n">
        <v>2</v>
      </c>
      <c r="J538" s="10" t="n">
        <v>6</v>
      </c>
      <c r="K538" s="10" t="n">
        <v>96</v>
      </c>
      <c r="L538" s="10" t="n">
        <v>100</v>
      </c>
      <c r="M538" s="10" t="n">
        <v>163</v>
      </c>
    </row>
    <row r="539" customFormat="false" ht="15" hidden="false" customHeight="false" outlineLevel="0" collapsed="false">
      <c r="A539" s="10" t="s">
        <v>1963</v>
      </c>
      <c r="B539" s="10" t="s">
        <v>395</v>
      </c>
      <c r="C539" s="10" t="s">
        <v>1964</v>
      </c>
      <c r="D539" s="10" t="s">
        <v>428</v>
      </c>
      <c r="E539" s="10" t="s">
        <v>454</v>
      </c>
      <c r="F539" s="10" t="n">
        <v>13</v>
      </c>
      <c r="G539" s="10" t="s">
        <v>1965</v>
      </c>
      <c r="H539" s="10" t="n">
        <v>4</v>
      </c>
      <c r="I539" s="10" t="n">
        <v>2</v>
      </c>
      <c r="J539" s="10" t="n">
        <v>6</v>
      </c>
      <c r="K539" s="10" t="n">
        <v>98</v>
      </c>
      <c r="L539" s="10" t="n">
        <v>100</v>
      </c>
      <c r="M539" s="10" t="n">
        <v>299</v>
      </c>
    </row>
    <row r="540" customFormat="false" ht="15" hidden="false" customHeight="false" outlineLevel="0" collapsed="false">
      <c r="A540" s="10" t="s">
        <v>1966</v>
      </c>
      <c r="B540" s="10" t="s">
        <v>395</v>
      </c>
      <c r="C540" s="10" t="s">
        <v>1967</v>
      </c>
      <c r="D540" s="10" t="s">
        <v>428</v>
      </c>
      <c r="E540" s="10" t="s">
        <v>454</v>
      </c>
      <c r="F540" s="10" t="n">
        <v>13</v>
      </c>
      <c r="G540" s="10" t="s">
        <v>1968</v>
      </c>
      <c r="H540" s="10" t="n">
        <v>4</v>
      </c>
      <c r="I540" s="10" t="n">
        <v>2</v>
      </c>
      <c r="J540" s="10" t="n">
        <v>6</v>
      </c>
      <c r="K540" s="10" t="n">
        <v>98</v>
      </c>
      <c r="L540" s="10" t="n">
        <v>100</v>
      </c>
      <c r="M540" s="10" t="n">
        <v>249</v>
      </c>
    </row>
    <row r="541" customFormat="false" ht="15" hidden="false" customHeight="false" outlineLevel="0" collapsed="false">
      <c r="A541" s="10" t="s">
        <v>1969</v>
      </c>
      <c r="B541" s="10" t="s">
        <v>395</v>
      </c>
      <c r="C541" s="10" t="s">
        <v>1970</v>
      </c>
      <c r="D541" s="10" t="s">
        <v>428</v>
      </c>
      <c r="E541" s="10" t="s">
        <v>454</v>
      </c>
      <c r="F541" s="10" t="n">
        <v>13</v>
      </c>
      <c r="G541" s="10" t="s">
        <v>1724</v>
      </c>
      <c r="H541" s="10" t="n">
        <v>4</v>
      </c>
      <c r="I541" s="10" t="n">
        <v>2</v>
      </c>
      <c r="J541" s="10" t="n">
        <v>7</v>
      </c>
      <c r="K541" s="10" t="n">
        <v>98</v>
      </c>
      <c r="L541" s="10" t="n">
        <v>100</v>
      </c>
      <c r="M541" s="10" t="n">
        <v>181</v>
      </c>
    </row>
    <row r="542" customFormat="false" ht="15" hidden="false" customHeight="false" outlineLevel="0" collapsed="false">
      <c r="A542" s="10" t="s">
        <v>1971</v>
      </c>
      <c r="B542" s="10" t="s">
        <v>395</v>
      </c>
      <c r="C542" s="10" t="s">
        <v>1972</v>
      </c>
      <c r="D542" s="10" t="s">
        <v>428</v>
      </c>
      <c r="E542" s="10" t="s">
        <v>454</v>
      </c>
      <c r="F542" s="10" t="n">
        <v>13</v>
      </c>
      <c r="G542" s="10" t="s">
        <v>1973</v>
      </c>
      <c r="H542" s="10" t="n">
        <v>4</v>
      </c>
      <c r="I542" s="10" t="n">
        <v>2</v>
      </c>
      <c r="J542" s="10" t="n">
        <v>7</v>
      </c>
      <c r="K542" s="10" t="n">
        <v>98</v>
      </c>
      <c r="L542" s="10" t="n">
        <v>100</v>
      </c>
      <c r="M542" s="10" t="n">
        <v>199</v>
      </c>
    </row>
    <row r="543" customFormat="false" ht="15" hidden="false" customHeight="false" outlineLevel="0" collapsed="false">
      <c r="A543" s="10" t="s">
        <v>1974</v>
      </c>
      <c r="B543" s="10" t="s">
        <v>395</v>
      </c>
      <c r="C543" s="10" t="s">
        <v>1975</v>
      </c>
      <c r="D543" s="10" t="s">
        <v>428</v>
      </c>
      <c r="E543" s="10" t="s">
        <v>454</v>
      </c>
      <c r="F543" s="10" t="n">
        <v>13</v>
      </c>
      <c r="G543" s="10" t="s">
        <v>825</v>
      </c>
      <c r="H543" s="10" t="n">
        <v>4</v>
      </c>
      <c r="I543" s="10" t="n">
        <v>2</v>
      </c>
      <c r="J543" s="10" t="n">
        <v>6</v>
      </c>
      <c r="K543" s="10" t="n">
        <v>96</v>
      </c>
      <c r="L543" s="10" t="n">
        <v>100</v>
      </c>
      <c r="M543" s="10" t="n">
        <v>218</v>
      </c>
    </row>
    <row r="544" customFormat="false" ht="15" hidden="false" customHeight="false" outlineLevel="0" collapsed="false">
      <c r="A544" s="10" t="s">
        <v>1976</v>
      </c>
      <c r="B544" s="10" t="s">
        <v>395</v>
      </c>
      <c r="C544" s="10" t="s">
        <v>1977</v>
      </c>
      <c r="D544" s="10" t="s">
        <v>428</v>
      </c>
      <c r="E544" s="10" t="s">
        <v>454</v>
      </c>
      <c r="F544" s="10" t="n">
        <v>13</v>
      </c>
      <c r="G544" s="10" t="s">
        <v>1978</v>
      </c>
      <c r="H544" s="10" t="n">
        <v>4</v>
      </c>
      <c r="I544" s="10" t="n">
        <v>2</v>
      </c>
      <c r="J544" s="10" t="n">
        <v>6</v>
      </c>
      <c r="K544" s="10" t="n">
        <v>98</v>
      </c>
      <c r="L544" s="10" t="n">
        <v>100</v>
      </c>
      <c r="M544" s="10" t="n">
        <v>234</v>
      </c>
    </row>
    <row r="545" customFormat="false" ht="15" hidden="false" customHeight="false" outlineLevel="0" collapsed="false">
      <c r="A545" s="10" t="s">
        <v>1979</v>
      </c>
      <c r="B545" s="10" t="s">
        <v>395</v>
      </c>
      <c r="C545" s="10" t="s">
        <v>1980</v>
      </c>
      <c r="D545" s="10" t="s">
        <v>428</v>
      </c>
      <c r="E545" s="10" t="s">
        <v>454</v>
      </c>
      <c r="F545" s="10" t="n">
        <v>13</v>
      </c>
      <c r="G545" s="10" t="s">
        <v>1724</v>
      </c>
      <c r="H545" s="10" t="n">
        <v>4</v>
      </c>
      <c r="I545" s="10" t="n">
        <v>2</v>
      </c>
      <c r="J545" s="10" t="n">
        <v>6</v>
      </c>
      <c r="K545" s="10" t="n">
        <v>98</v>
      </c>
      <c r="L545" s="10" t="n">
        <v>100</v>
      </c>
      <c r="M545" s="10" t="n">
        <v>282</v>
      </c>
    </row>
    <row r="546" customFormat="false" ht="15" hidden="false" customHeight="false" outlineLevel="0" collapsed="false">
      <c r="A546" s="10" t="s">
        <v>1981</v>
      </c>
      <c r="B546" s="10" t="s">
        <v>395</v>
      </c>
      <c r="C546" s="10" t="s">
        <v>1982</v>
      </c>
      <c r="D546" s="10" t="s">
        <v>428</v>
      </c>
      <c r="E546" s="10" t="s">
        <v>454</v>
      </c>
      <c r="F546" s="10" t="n">
        <v>13</v>
      </c>
      <c r="G546" s="10" t="s">
        <v>1983</v>
      </c>
      <c r="H546" s="10" t="n">
        <v>4</v>
      </c>
      <c r="I546" s="10" t="n">
        <v>2</v>
      </c>
      <c r="J546" s="10" t="n">
        <v>5</v>
      </c>
      <c r="K546" s="10" t="n">
        <v>98</v>
      </c>
      <c r="L546" s="10" t="n">
        <v>100</v>
      </c>
      <c r="M546" s="10" t="n">
        <v>277</v>
      </c>
    </row>
    <row r="547" customFormat="false" ht="15" hidden="false" customHeight="false" outlineLevel="0" collapsed="false">
      <c r="A547" s="10" t="s">
        <v>1984</v>
      </c>
      <c r="B547" s="10" t="s">
        <v>395</v>
      </c>
      <c r="C547" s="10" t="s">
        <v>1985</v>
      </c>
      <c r="D547" s="10" t="s">
        <v>413</v>
      </c>
      <c r="E547" s="10" t="s">
        <v>158</v>
      </c>
      <c r="F547" s="10" t="n">
        <v>15</v>
      </c>
      <c r="G547" s="10" t="s">
        <v>825</v>
      </c>
      <c r="H547" s="10" t="n">
        <v>4</v>
      </c>
      <c r="I547" s="10" t="n">
        <v>2</v>
      </c>
      <c r="J547" s="10" t="n">
        <v>8</v>
      </c>
      <c r="K547" s="10" t="n">
        <v>98</v>
      </c>
      <c r="L547" s="10" t="n">
        <v>100</v>
      </c>
      <c r="M547" s="10" t="n">
        <v>219</v>
      </c>
    </row>
    <row r="548" customFormat="false" ht="15" hidden="false" customHeight="false" outlineLevel="0" collapsed="false">
      <c r="A548" s="10" t="s">
        <v>1986</v>
      </c>
      <c r="B548" s="10" t="s">
        <v>395</v>
      </c>
      <c r="C548" s="10" t="s">
        <v>1987</v>
      </c>
      <c r="D548" s="10" t="s">
        <v>461</v>
      </c>
      <c r="E548" s="10" t="s">
        <v>77</v>
      </c>
      <c r="F548" s="10" t="n">
        <v>12</v>
      </c>
      <c r="G548" s="10" t="s">
        <v>1988</v>
      </c>
      <c r="H548" s="10" t="n">
        <v>4</v>
      </c>
      <c r="I548" s="10" t="n">
        <v>2</v>
      </c>
      <c r="J548" s="10" t="n">
        <v>4</v>
      </c>
      <c r="K548" s="10" t="n">
        <v>98</v>
      </c>
      <c r="L548" s="10" t="n">
        <v>100</v>
      </c>
      <c r="M548" s="10" t="n">
        <v>164</v>
      </c>
    </row>
    <row r="549" customFormat="false" ht="15" hidden="false" customHeight="false" outlineLevel="0" collapsed="false">
      <c r="A549" s="10" t="s">
        <v>1989</v>
      </c>
      <c r="B549" s="10" t="s">
        <v>395</v>
      </c>
      <c r="C549" s="10" t="s">
        <v>1990</v>
      </c>
      <c r="D549" s="10" t="s">
        <v>397</v>
      </c>
      <c r="E549" s="10" t="s">
        <v>139</v>
      </c>
      <c r="F549" s="10" t="n">
        <v>15</v>
      </c>
      <c r="G549" s="10" t="s">
        <v>1991</v>
      </c>
      <c r="H549" s="10" t="n">
        <v>4</v>
      </c>
      <c r="I549" s="10" t="n">
        <v>2</v>
      </c>
      <c r="J549" s="10" t="n">
        <v>8</v>
      </c>
      <c r="K549" s="10" t="n">
        <v>96</v>
      </c>
      <c r="L549" s="10" t="n">
        <v>100</v>
      </c>
      <c r="M549" s="10" t="n">
        <v>191</v>
      </c>
    </row>
    <row r="550" customFormat="false" ht="15" hidden="false" customHeight="false" outlineLevel="0" collapsed="false">
      <c r="A550" s="10" t="s">
        <v>1992</v>
      </c>
      <c r="B550" s="10" t="s">
        <v>395</v>
      </c>
      <c r="C550" s="10" t="s">
        <v>1993</v>
      </c>
      <c r="D550" s="10" t="s">
        <v>433</v>
      </c>
      <c r="E550" s="10" t="s">
        <v>191</v>
      </c>
      <c r="F550" s="10" t="n">
        <v>15</v>
      </c>
      <c r="G550" s="10" t="s">
        <v>1994</v>
      </c>
      <c r="H550" s="10" t="n">
        <v>4</v>
      </c>
      <c r="I550" s="10" t="n">
        <v>2</v>
      </c>
      <c r="J550" s="10" t="n">
        <v>5</v>
      </c>
      <c r="K550" s="10" t="n">
        <v>96</v>
      </c>
      <c r="L550" s="10" t="n">
        <v>100</v>
      </c>
      <c r="M550" s="10" t="n">
        <v>186</v>
      </c>
    </row>
    <row r="551" customFormat="false" ht="15" hidden="false" customHeight="false" outlineLevel="0" collapsed="false">
      <c r="A551" s="10" t="s">
        <v>1995</v>
      </c>
      <c r="B551" s="10" t="s">
        <v>395</v>
      </c>
      <c r="C551" s="10" t="s">
        <v>1996</v>
      </c>
      <c r="D551" s="10" t="s">
        <v>433</v>
      </c>
      <c r="E551" s="10" t="s">
        <v>191</v>
      </c>
      <c r="F551" s="10" t="n">
        <v>14</v>
      </c>
      <c r="G551" s="10" t="s">
        <v>1997</v>
      </c>
      <c r="H551" s="10" t="n">
        <v>4</v>
      </c>
      <c r="I551" s="10" t="n">
        <v>2</v>
      </c>
      <c r="J551" s="10" t="n">
        <v>7</v>
      </c>
      <c r="K551" s="10" t="n">
        <v>96</v>
      </c>
      <c r="L551" s="10" t="n">
        <v>100</v>
      </c>
      <c r="M551" s="10" t="n">
        <v>216</v>
      </c>
    </row>
    <row r="552" customFormat="false" ht="15" hidden="false" customHeight="false" outlineLevel="0" collapsed="false">
      <c r="A552" s="10" t="s">
        <v>1998</v>
      </c>
      <c r="B552" s="10" t="s">
        <v>395</v>
      </c>
      <c r="C552" s="10" t="s">
        <v>1999</v>
      </c>
      <c r="D552" s="10" t="s">
        <v>409</v>
      </c>
      <c r="E552" s="10" t="s">
        <v>2000</v>
      </c>
      <c r="F552" s="10" t="n">
        <v>12</v>
      </c>
      <c r="G552" s="10" t="s">
        <v>1266</v>
      </c>
      <c r="H552" s="10" t="n">
        <v>4</v>
      </c>
      <c r="I552" s="10" t="n">
        <v>2</v>
      </c>
      <c r="J552" s="10" t="n">
        <v>7</v>
      </c>
      <c r="K552" s="10" t="n">
        <v>95</v>
      </c>
      <c r="L552" s="10" t="n">
        <v>86</v>
      </c>
      <c r="M552" s="10" t="n">
        <v>143</v>
      </c>
    </row>
    <row r="553" customFormat="false" ht="15" hidden="false" customHeight="false" outlineLevel="0" collapsed="false">
      <c r="A553" s="10" t="s">
        <v>2001</v>
      </c>
      <c r="B553" s="10" t="s">
        <v>395</v>
      </c>
      <c r="C553" s="10" t="s">
        <v>2002</v>
      </c>
      <c r="D553" s="10" t="s">
        <v>428</v>
      </c>
      <c r="E553" s="10" t="s">
        <v>123</v>
      </c>
      <c r="F553" s="10" t="n">
        <v>14</v>
      </c>
      <c r="G553" s="10" t="s">
        <v>2003</v>
      </c>
      <c r="H553" s="10" t="n">
        <v>4</v>
      </c>
      <c r="I553" s="10" t="n">
        <v>2</v>
      </c>
      <c r="J553" s="10" t="n">
        <v>6</v>
      </c>
      <c r="K553" s="10" t="n">
        <v>94</v>
      </c>
      <c r="L553" s="10" t="n">
        <v>75</v>
      </c>
      <c r="M553" s="10" t="n">
        <v>178</v>
      </c>
    </row>
    <row r="554" customFormat="false" ht="15" hidden="false" customHeight="false" outlineLevel="0" collapsed="false">
      <c r="A554" s="10" t="s">
        <v>2004</v>
      </c>
      <c r="B554" s="10" t="s">
        <v>395</v>
      </c>
      <c r="C554" s="10" t="s">
        <v>2005</v>
      </c>
      <c r="D554" s="10" t="s">
        <v>428</v>
      </c>
      <c r="E554" s="10" t="s">
        <v>123</v>
      </c>
      <c r="F554" s="10" t="n">
        <v>12</v>
      </c>
      <c r="G554" s="10" t="s">
        <v>2006</v>
      </c>
      <c r="H554" s="10" t="n">
        <v>4</v>
      </c>
      <c r="I554" s="10" t="n">
        <v>2</v>
      </c>
      <c r="J554" s="10" t="n">
        <v>4</v>
      </c>
      <c r="K554" s="10" t="n">
        <v>95</v>
      </c>
      <c r="L554" s="10" t="n">
        <v>100</v>
      </c>
      <c r="M554" s="10" t="n">
        <v>137</v>
      </c>
    </row>
    <row r="555" customFormat="false" ht="15" hidden="false" customHeight="false" outlineLevel="0" collapsed="false">
      <c r="A555" s="10" t="s">
        <v>2007</v>
      </c>
      <c r="B555" s="10" t="s">
        <v>395</v>
      </c>
      <c r="C555" s="10" t="s">
        <v>2008</v>
      </c>
      <c r="D555" s="10" t="s">
        <v>401</v>
      </c>
      <c r="E555" s="10" t="s">
        <v>454</v>
      </c>
      <c r="F555" s="10" t="n">
        <v>8</v>
      </c>
      <c r="G555" s="10" t="s">
        <v>755</v>
      </c>
      <c r="H555" s="10" t="n">
        <v>4</v>
      </c>
      <c r="I555" s="10" t="n">
        <v>0</v>
      </c>
      <c r="J555" s="10" t="n">
        <v>7</v>
      </c>
      <c r="K555" s="10" t="n">
        <v>84</v>
      </c>
      <c r="L555" s="10" t="n">
        <v>100</v>
      </c>
      <c r="M555" s="10" t="n">
        <v>0</v>
      </c>
    </row>
    <row r="556" customFormat="false" ht="15" hidden="false" customHeight="false" outlineLevel="0" collapsed="false">
      <c r="A556" s="10" t="s">
        <v>2009</v>
      </c>
      <c r="B556" s="10" t="s">
        <v>395</v>
      </c>
      <c r="C556" s="10" t="s">
        <v>2010</v>
      </c>
      <c r="D556" s="10" t="s">
        <v>405</v>
      </c>
      <c r="E556" s="10" t="s">
        <v>226</v>
      </c>
      <c r="F556" s="10" t="n">
        <v>15</v>
      </c>
      <c r="G556" s="10" t="s">
        <v>2011</v>
      </c>
      <c r="H556" s="10" t="n">
        <v>4</v>
      </c>
      <c r="I556" s="10" t="n">
        <v>2</v>
      </c>
      <c r="J556" s="10" t="n">
        <v>7</v>
      </c>
      <c r="K556" s="10" t="n">
        <v>91</v>
      </c>
      <c r="L556" s="10" t="n">
        <v>64</v>
      </c>
      <c r="M556" s="10" t="n">
        <v>238</v>
      </c>
    </row>
    <row r="557" customFormat="false" ht="15" hidden="false" customHeight="false" outlineLevel="0" collapsed="false">
      <c r="A557" s="10" t="s">
        <v>2012</v>
      </c>
      <c r="B557" s="10" t="s">
        <v>395</v>
      </c>
      <c r="C557" s="10" t="s">
        <v>2013</v>
      </c>
      <c r="D557" s="10" t="s">
        <v>461</v>
      </c>
      <c r="E557" s="10" t="s">
        <v>233</v>
      </c>
      <c r="F557" s="10" t="n">
        <v>12</v>
      </c>
      <c r="G557" s="10" t="s">
        <v>2014</v>
      </c>
      <c r="H557" s="10" t="n">
        <v>4</v>
      </c>
      <c r="I557" s="10" t="n">
        <v>2</v>
      </c>
      <c r="J557" s="10" t="n">
        <v>3</v>
      </c>
      <c r="K557" s="10" t="n">
        <v>92</v>
      </c>
      <c r="L557" s="10" t="n">
        <v>100</v>
      </c>
      <c r="M557" s="10" t="n">
        <v>187</v>
      </c>
    </row>
    <row r="558" customFormat="false" ht="15" hidden="false" customHeight="false" outlineLevel="0" collapsed="false">
      <c r="A558" s="10" t="s">
        <v>2015</v>
      </c>
      <c r="B558" s="10" t="s">
        <v>395</v>
      </c>
      <c r="C558" s="10" t="s">
        <v>2016</v>
      </c>
      <c r="D558" s="10" t="s">
        <v>397</v>
      </c>
      <c r="E558" s="10" t="s">
        <v>139</v>
      </c>
      <c r="F558" s="10" t="n">
        <v>12</v>
      </c>
      <c r="G558" s="10" t="s">
        <v>2017</v>
      </c>
      <c r="H558" s="10" t="n">
        <v>4</v>
      </c>
      <c r="I558" s="10" t="n">
        <v>2</v>
      </c>
      <c r="J558" s="10" t="n">
        <v>8</v>
      </c>
      <c r="K558" s="10" t="n">
        <v>96</v>
      </c>
      <c r="L558" s="10" t="n">
        <v>88</v>
      </c>
      <c r="M558" s="10" t="n">
        <v>191</v>
      </c>
    </row>
    <row r="559" customFormat="false" ht="15" hidden="false" customHeight="false" outlineLevel="0" collapsed="false">
      <c r="A559" s="10" t="s">
        <v>2018</v>
      </c>
      <c r="B559" s="10" t="s">
        <v>395</v>
      </c>
      <c r="C559" s="10" t="s">
        <v>2019</v>
      </c>
      <c r="D559" s="10" t="s">
        <v>405</v>
      </c>
      <c r="E559" s="10" t="s">
        <v>226</v>
      </c>
      <c r="F559" s="10" t="n">
        <v>15</v>
      </c>
      <c r="G559" s="10" t="s">
        <v>2020</v>
      </c>
      <c r="H559" s="10" t="n">
        <v>5</v>
      </c>
      <c r="I559" s="10" t="n">
        <v>2</v>
      </c>
      <c r="J559" s="10" t="n">
        <v>7</v>
      </c>
      <c r="K559" s="10" t="n">
        <v>96</v>
      </c>
      <c r="L559" s="10" t="n">
        <v>100</v>
      </c>
      <c r="M559" s="10" t="n">
        <v>192</v>
      </c>
    </row>
    <row r="560" customFormat="false" ht="15" hidden="false" customHeight="false" outlineLevel="0" collapsed="false">
      <c r="A560" s="10" t="s">
        <v>2021</v>
      </c>
      <c r="B560" s="10" t="s">
        <v>395</v>
      </c>
      <c r="C560" s="10" t="s">
        <v>2022</v>
      </c>
      <c r="D560" s="10" t="s">
        <v>683</v>
      </c>
      <c r="E560" s="10" t="s">
        <v>233</v>
      </c>
      <c r="F560" s="10" t="n">
        <v>15</v>
      </c>
      <c r="G560" s="10" t="s">
        <v>2023</v>
      </c>
      <c r="H560" s="10" t="n">
        <v>4</v>
      </c>
      <c r="I560" s="10" t="n">
        <v>2</v>
      </c>
      <c r="J560" s="10" t="n">
        <v>4</v>
      </c>
      <c r="K560" s="10" t="n">
        <v>95</v>
      </c>
      <c r="L560" s="10" t="n">
        <v>100</v>
      </c>
      <c r="M560" s="10" t="n">
        <v>166</v>
      </c>
    </row>
    <row r="561" customFormat="false" ht="15" hidden="false" customHeight="false" outlineLevel="0" collapsed="false">
      <c r="A561" s="10" t="s">
        <v>2024</v>
      </c>
      <c r="B561" s="10" t="s">
        <v>395</v>
      </c>
      <c r="C561" s="10" t="s">
        <v>2025</v>
      </c>
      <c r="D561" s="10" t="s">
        <v>405</v>
      </c>
      <c r="E561" s="10" t="s">
        <v>2026</v>
      </c>
      <c r="F561" s="10" t="n">
        <v>10</v>
      </c>
      <c r="G561" s="10" t="s">
        <v>2027</v>
      </c>
      <c r="H561" s="10" t="n">
        <v>4</v>
      </c>
      <c r="I561" s="10" t="n">
        <v>2</v>
      </c>
      <c r="J561" s="10" t="n">
        <v>5</v>
      </c>
      <c r="K561" s="10" t="n">
        <v>97</v>
      </c>
      <c r="L561" s="10" t="n">
        <v>100</v>
      </c>
      <c r="M561" s="10" t="n">
        <v>146</v>
      </c>
    </row>
    <row r="562" customFormat="false" ht="15" hidden="false" customHeight="false" outlineLevel="0" collapsed="false">
      <c r="A562" s="10" t="s">
        <v>2028</v>
      </c>
      <c r="B562" s="10" t="s">
        <v>395</v>
      </c>
      <c r="C562" s="10" t="s">
        <v>2029</v>
      </c>
      <c r="D562" s="10" t="s">
        <v>832</v>
      </c>
      <c r="E562" s="10" t="s">
        <v>319</v>
      </c>
      <c r="F562" s="10" t="n">
        <v>12</v>
      </c>
      <c r="G562" s="10" t="s">
        <v>2030</v>
      </c>
      <c r="H562" s="10" t="n">
        <v>4</v>
      </c>
      <c r="I562" s="10" t="n">
        <v>2</v>
      </c>
      <c r="J562" s="10" t="n">
        <v>6</v>
      </c>
      <c r="K562" s="10" t="n">
        <v>96</v>
      </c>
      <c r="L562" s="10" t="n">
        <v>100</v>
      </c>
      <c r="M562" s="10" t="n">
        <v>171</v>
      </c>
    </row>
    <row r="563" customFormat="false" ht="15" hidden="false" customHeight="false" outlineLevel="0" collapsed="false">
      <c r="A563" s="10" t="s">
        <v>2031</v>
      </c>
      <c r="B563" s="10" t="s">
        <v>395</v>
      </c>
      <c r="C563" s="10" t="s">
        <v>2032</v>
      </c>
      <c r="D563" s="10" t="s">
        <v>832</v>
      </c>
      <c r="E563" s="10" t="s">
        <v>319</v>
      </c>
      <c r="F563" s="10" t="n">
        <v>16</v>
      </c>
      <c r="G563" s="10" t="s">
        <v>2033</v>
      </c>
      <c r="H563" s="10" t="n">
        <v>4</v>
      </c>
      <c r="I563" s="10" t="n">
        <v>2</v>
      </c>
      <c r="J563" s="10" t="n">
        <v>5</v>
      </c>
      <c r="K563" s="10" t="n">
        <v>96</v>
      </c>
      <c r="L563" s="10" t="n">
        <v>100</v>
      </c>
      <c r="M563" s="10" t="n">
        <v>226</v>
      </c>
    </row>
    <row r="564" customFormat="false" ht="15" hidden="false" customHeight="false" outlineLevel="0" collapsed="false">
      <c r="A564" s="10" t="s">
        <v>2034</v>
      </c>
      <c r="B564" s="10" t="s">
        <v>395</v>
      </c>
      <c r="C564" s="10" t="s">
        <v>2035</v>
      </c>
      <c r="D564" s="10" t="s">
        <v>832</v>
      </c>
      <c r="E564" s="10" t="s">
        <v>319</v>
      </c>
      <c r="F564" s="10" t="n">
        <v>12</v>
      </c>
      <c r="G564" s="10" t="s">
        <v>2036</v>
      </c>
      <c r="H564" s="10" t="n">
        <v>4</v>
      </c>
      <c r="I564" s="10" t="n">
        <v>2</v>
      </c>
      <c r="J564" s="10" t="n">
        <v>6</v>
      </c>
      <c r="K564" s="10" t="n">
        <v>97</v>
      </c>
      <c r="L564" s="10" t="n">
        <v>100</v>
      </c>
      <c r="M564" s="10" t="n">
        <v>172</v>
      </c>
    </row>
    <row r="565" customFormat="false" ht="15" hidden="false" customHeight="false" outlineLevel="0" collapsed="false">
      <c r="A565" s="10" t="s">
        <v>2037</v>
      </c>
      <c r="B565" s="10" t="s">
        <v>395</v>
      </c>
      <c r="C565" s="10" t="s">
        <v>2038</v>
      </c>
      <c r="D565" s="10" t="s">
        <v>832</v>
      </c>
      <c r="E565" s="10" t="s">
        <v>319</v>
      </c>
      <c r="F565" s="10" t="n">
        <v>13</v>
      </c>
      <c r="G565" s="10" t="s">
        <v>2039</v>
      </c>
      <c r="H565" s="10" t="n">
        <v>4</v>
      </c>
      <c r="I565" s="10" t="n">
        <v>2</v>
      </c>
      <c r="J565" s="10" t="n">
        <v>6</v>
      </c>
      <c r="K565" s="10" t="n">
        <v>95</v>
      </c>
      <c r="L565" s="10" t="n">
        <v>100</v>
      </c>
      <c r="M565" s="10" t="n">
        <v>170</v>
      </c>
    </row>
    <row r="566" customFormat="false" ht="15" hidden="false" customHeight="false" outlineLevel="0" collapsed="false">
      <c r="A566" s="10" t="s">
        <v>2040</v>
      </c>
      <c r="B566" s="10" t="s">
        <v>395</v>
      </c>
      <c r="C566" s="10" t="s">
        <v>2041</v>
      </c>
      <c r="D566" s="10" t="s">
        <v>832</v>
      </c>
      <c r="E566" s="10" t="s">
        <v>319</v>
      </c>
      <c r="F566" s="10" t="n">
        <v>13</v>
      </c>
      <c r="G566" s="10" t="s">
        <v>1473</v>
      </c>
      <c r="H566" s="10" t="n">
        <v>4</v>
      </c>
      <c r="I566" s="10" t="n">
        <v>2</v>
      </c>
      <c r="J566" s="10" t="n">
        <v>6</v>
      </c>
      <c r="K566" s="10" t="n">
        <v>96</v>
      </c>
      <c r="L566" s="10" t="n">
        <v>100</v>
      </c>
      <c r="M566" s="10" t="n">
        <v>174</v>
      </c>
    </row>
    <row r="567" customFormat="false" ht="15" hidden="false" customHeight="false" outlineLevel="0" collapsed="false">
      <c r="A567" s="10" t="s">
        <v>2042</v>
      </c>
      <c r="B567" s="10" t="s">
        <v>395</v>
      </c>
      <c r="C567" s="10" t="s">
        <v>2043</v>
      </c>
      <c r="D567" s="10" t="s">
        <v>832</v>
      </c>
      <c r="E567" s="10" t="s">
        <v>319</v>
      </c>
      <c r="F567" s="10" t="n">
        <v>13</v>
      </c>
      <c r="G567" s="10" t="s">
        <v>2044</v>
      </c>
      <c r="H567" s="10" t="n">
        <v>4</v>
      </c>
      <c r="I567" s="10" t="n">
        <v>2</v>
      </c>
      <c r="J567" s="10" t="n">
        <v>6</v>
      </c>
      <c r="K567" s="10" t="n">
        <v>95</v>
      </c>
      <c r="L567" s="10" t="n">
        <v>100</v>
      </c>
      <c r="M567" s="10" t="n">
        <v>172</v>
      </c>
    </row>
    <row r="568" customFormat="false" ht="15" hidden="false" customHeight="false" outlineLevel="0" collapsed="false">
      <c r="A568" s="10" t="s">
        <v>2045</v>
      </c>
      <c r="B568" s="10" t="s">
        <v>395</v>
      </c>
      <c r="C568" s="10" t="s">
        <v>2046</v>
      </c>
      <c r="D568" s="10" t="s">
        <v>832</v>
      </c>
      <c r="E568" s="10" t="s">
        <v>319</v>
      </c>
      <c r="F568" s="10" t="n">
        <v>13</v>
      </c>
      <c r="G568" s="10" t="s">
        <v>2039</v>
      </c>
      <c r="H568" s="10" t="n">
        <v>4</v>
      </c>
      <c r="I568" s="10" t="n">
        <v>2</v>
      </c>
      <c r="J568" s="10" t="n">
        <v>6</v>
      </c>
      <c r="K568" s="10" t="n">
        <v>95</v>
      </c>
      <c r="L568" s="10" t="n">
        <v>100</v>
      </c>
      <c r="M568" s="10" t="n">
        <v>161</v>
      </c>
    </row>
    <row r="569" customFormat="false" ht="15" hidden="false" customHeight="false" outlineLevel="0" collapsed="false">
      <c r="A569" s="10" t="s">
        <v>2047</v>
      </c>
      <c r="B569" s="10" t="s">
        <v>395</v>
      </c>
      <c r="C569" s="10" t="s">
        <v>2048</v>
      </c>
      <c r="D569" s="10" t="s">
        <v>832</v>
      </c>
      <c r="E569" s="10" t="s">
        <v>319</v>
      </c>
      <c r="F569" s="10" t="n">
        <v>13</v>
      </c>
      <c r="G569" s="10" t="s">
        <v>2049</v>
      </c>
      <c r="H569" s="10" t="n">
        <v>4</v>
      </c>
      <c r="I569" s="10" t="n">
        <v>2</v>
      </c>
      <c r="J569" s="10" t="n">
        <v>5</v>
      </c>
      <c r="K569" s="10" t="n">
        <v>95</v>
      </c>
      <c r="L569" s="10" t="n">
        <v>100</v>
      </c>
      <c r="M569" s="10" t="n">
        <v>146</v>
      </c>
    </row>
    <row r="570" customFormat="false" ht="15" hidden="false" customHeight="false" outlineLevel="0" collapsed="false">
      <c r="A570" s="10" t="s">
        <v>2050</v>
      </c>
      <c r="B570" s="10" t="s">
        <v>395</v>
      </c>
      <c r="C570" s="10" t="s">
        <v>2051</v>
      </c>
      <c r="D570" s="10" t="s">
        <v>413</v>
      </c>
      <c r="E570" s="10" t="s">
        <v>152</v>
      </c>
      <c r="F570" s="10" t="n">
        <v>15</v>
      </c>
      <c r="G570" s="10" t="s">
        <v>2052</v>
      </c>
      <c r="H570" s="10" t="n">
        <v>4</v>
      </c>
      <c r="I570" s="10" t="n">
        <v>2</v>
      </c>
      <c r="J570" s="10" t="n">
        <v>7</v>
      </c>
      <c r="K570" s="10" t="n">
        <v>96</v>
      </c>
      <c r="L570" s="10" t="n">
        <v>100</v>
      </c>
      <c r="M570" s="10" t="n">
        <v>173</v>
      </c>
    </row>
    <row r="571" customFormat="false" ht="15" hidden="false" customHeight="false" outlineLevel="0" collapsed="false">
      <c r="A571" s="10" t="s">
        <v>2053</v>
      </c>
      <c r="B571" s="10" t="s">
        <v>395</v>
      </c>
      <c r="C571" s="10" t="s">
        <v>2054</v>
      </c>
      <c r="D571" s="10" t="s">
        <v>401</v>
      </c>
      <c r="E571" s="10" t="s">
        <v>454</v>
      </c>
      <c r="F571" s="10" t="n">
        <v>12</v>
      </c>
      <c r="G571" s="10" t="s">
        <v>2055</v>
      </c>
      <c r="H571" s="10" t="n">
        <v>4</v>
      </c>
      <c r="I571" s="10" t="n">
        <v>2</v>
      </c>
      <c r="J571" s="10" t="n">
        <v>6</v>
      </c>
      <c r="K571" s="10" t="n">
        <v>97</v>
      </c>
      <c r="L571" s="10" t="n">
        <v>100</v>
      </c>
      <c r="M571" s="10" t="n">
        <v>211</v>
      </c>
    </row>
    <row r="572" customFormat="false" ht="15" hidden="false" customHeight="false" outlineLevel="0" collapsed="false">
      <c r="A572" s="10" t="s">
        <v>2056</v>
      </c>
      <c r="B572" s="10" t="s">
        <v>395</v>
      </c>
      <c r="C572" s="10" t="s">
        <v>2057</v>
      </c>
      <c r="D572" s="10" t="s">
        <v>417</v>
      </c>
      <c r="E572" s="10" t="s">
        <v>139</v>
      </c>
      <c r="F572" s="10" t="n">
        <v>14</v>
      </c>
      <c r="G572" s="10" t="s">
        <v>2058</v>
      </c>
      <c r="H572" s="10" t="n">
        <v>4</v>
      </c>
      <c r="I572" s="10" t="n">
        <v>2</v>
      </c>
      <c r="J572" s="10" t="n">
        <v>4</v>
      </c>
      <c r="K572" s="10" t="n">
        <v>97</v>
      </c>
      <c r="L572" s="10" t="n">
        <v>100</v>
      </c>
      <c r="M572" s="10" t="n">
        <v>232</v>
      </c>
    </row>
    <row r="573" customFormat="false" ht="15" hidden="false" customHeight="false" outlineLevel="0" collapsed="false">
      <c r="A573" s="10" t="s">
        <v>2059</v>
      </c>
      <c r="B573" s="10" t="s">
        <v>395</v>
      </c>
      <c r="C573" s="10" t="s">
        <v>2060</v>
      </c>
      <c r="D573" s="10" t="s">
        <v>461</v>
      </c>
      <c r="E573" s="10" t="s">
        <v>308</v>
      </c>
      <c r="F573" s="10" t="n">
        <v>14</v>
      </c>
      <c r="G573" s="10" t="s">
        <v>2061</v>
      </c>
      <c r="H573" s="10" t="n">
        <v>4</v>
      </c>
      <c r="I573" s="10" t="n">
        <v>2</v>
      </c>
      <c r="J573" s="10" t="n">
        <v>5</v>
      </c>
      <c r="K573" s="10" t="n">
        <v>97</v>
      </c>
      <c r="L573" s="10" t="n">
        <v>100</v>
      </c>
      <c r="M573" s="10" t="n">
        <v>128</v>
      </c>
    </row>
    <row r="574" customFormat="false" ht="15" hidden="false" customHeight="false" outlineLevel="0" collapsed="false">
      <c r="A574" s="10" t="s">
        <v>2062</v>
      </c>
      <c r="B574" s="10" t="s">
        <v>395</v>
      </c>
      <c r="C574" s="10" t="s">
        <v>2063</v>
      </c>
      <c r="D574" s="10" t="s">
        <v>461</v>
      </c>
      <c r="E574" s="10" t="s">
        <v>308</v>
      </c>
      <c r="F574" s="10" t="n">
        <v>14</v>
      </c>
      <c r="G574" s="10" t="s">
        <v>597</v>
      </c>
      <c r="H574" s="10" t="n">
        <v>4</v>
      </c>
      <c r="I574" s="10" t="n">
        <v>2</v>
      </c>
      <c r="J574" s="10" t="n">
        <v>5</v>
      </c>
      <c r="K574" s="10" t="n">
        <v>97</v>
      </c>
      <c r="L574" s="10" t="n">
        <v>100</v>
      </c>
      <c r="M574" s="10" t="n">
        <v>153</v>
      </c>
    </row>
    <row r="575" customFormat="false" ht="15" hidden="false" customHeight="false" outlineLevel="0" collapsed="false">
      <c r="A575" s="10" t="s">
        <v>2064</v>
      </c>
      <c r="B575" s="10" t="s">
        <v>395</v>
      </c>
      <c r="C575" s="10" t="s">
        <v>2065</v>
      </c>
      <c r="D575" s="10" t="s">
        <v>397</v>
      </c>
      <c r="E575" s="10" t="s">
        <v>308</v>
      </c>
      <c r="F575" s="10" t="n">
        <v>14</v>
      </c>
      <c r="G575" s="10" t="s">
        <v>2066</v>
      </c>
      <c r="H575" s="10" t="n">
        <v>4</v>
      </c>
      <c r="I575" s="10" t="n">
        <v>2</v>
      </c>
      <c r="J575" s="10" t="n">
        <v>4</v>
      </c>
      <c r="K575" s="10" t="n">
        <v>97</v>
      </c>
      <c r="L575" s="10" t="n">
        <v>100</v>
      </c>
      <c r="M575" s="10" t="n">
        <v>197</v>
      </c>
    </row>
    <row r="576" customFormat="false" ht="15" hidden="false" customHeight="false" outlineLevel="0" collapsed="false">
      <c r="A576" s="10" t="s">
        <v>2067</v>
      </c>
      <c r="B576" s="10" t="s">
        <v>395</v>
      </c>
      <c r="C576" s="10" t="s">
        <v>2068</v>
      </c>
      <c r="D576" s="10" t="s">
        <v>397</v>
      </c>
      <c r="E576" s="10" t="s">
        <v>308</v>
      </c>
      <c r="F576" s="10" t="n">
        <v>13</v>
      </c>
      <c r="G576" s="10" t="s">
        <v>2069</v>
      </c>
      <c r="H576" s="10" t="n">
        <v>4</v>
      </c>
      <c r="I576" s="10" t="n">
        <v>2</v>
      </c>
      <c r="J576" s="10" t="n">
        <v>4</v>
      </c>
      <c r="K576" s="10" t="n">
        <v>98</v>
      </c>
      <c r="L576" s="10" t="n">
        <v>100</v>
      </c>
      <c r="M576" s="10" t="n">
        <v>192</v>
      </c>
    </row>
    <row r="577" customFormat="false" ht="15" hidden="false" customHeight="false" outlineLevel="0" collapsed="false">
      <c r="A577" s="10" t="s">
        <v>2070</v>
      </c>
      <c r="B577" s="10" t="s">
        <v>395</v>
      </c>
      <c r="C577" s="10" t="s">
        <v>2071</v>
      </c>
      <c r="D577" s="10" t="s">
        <v>461</v>
      </c>
      <c r="E577" s="10" t="s">
        <v>308</v>
      </c>
      <c r="F577" s="10" t="n">
        <v>14</v>
      </c>
      <c r="G577" s="10" t="s">
        <v>2072</v>
      </c>
      <c r="H577" s="10" t="n">
        <v>4</v>
      </c>
      <c r="I577" s="10" t="n">
        <v>2</v>
      </c>
      <c r="J577" s="10" t="n">
        <v>4</v>
      </c>
      <c r="K577" s="10" t="n">
        <v>97</v>
      </c>
      <c r="L577" s="10" t="n">
        <v>100</v>
      </c>
      <c r="M577" s="10" t="n">
        <v>123</v>
      </c>
    </row>
    <row r="578" customFormat="false" ht="15" hidden="false" customHeight="false" outlineLevel="0" collapsed="false">
      <c r="A578" s="10" t="s">
        <v>2073</v>
      </c>
      <c r="B578" s="10" t="s">
        <v>395</v>
      </c>
      <c r="C578" s="10" t="s">
        <v>2074</v>
      </c>
      <c r="D578" s="10" t="s">
        <v>461</v>
      </c>
      <c r="E578" s="10" t="s">
        <v>308</v>
      </c>
      <c r="F578" s="10" t="n">
        <v>14</v>
      </c>
      <c r="G578" s="10" t="s">
        <v>2075</v>
      </c>
      <c r="H578" s="10" t="n">
        <v>4</v>
      </c>
      <c r="I578" s="10" t="n">
        <v>2</v>
      </c>
      <c r="J578" s="10" t="n">
        <v>4</v>
      </c>
      <c r="K578" s="10" t="n">
        <v>97</v>
      </c>
      <c r="L578" s="10" t="n">
        <v>100</v>
      </c>
      <c r="M578" s="10" t="n">
        <v>163</v>
      </c>
    </row>
    <row r="579" customFormat="false" ht="15" hidden="false" customHeight="false" outlineLevel="0" collapsed="false">
      <c r="A579" s="10" t="s">
        <v>2076</v>
      </c>
      <c r="B579" s="10" t="s">
        <v>395</v>
      </c>
      <c r="C579" s="10" t="s">
        <v>2077</v>
      </c>
      <c r="D579" s="10" t="s">
        <v>397</v>
      </c>
      <c r="E579" s="10" t="s">
        <v>308</v>
      </c>
      <c r="F579" s="10" t="n">
        <v>14</v>
      </c>
      <c r="G579" s="10" t="s">
        <v>2078</v>
      </c>
      <c r="H579" s="10" t="n">
        <v>4</v>
      </c>
      <c r="I579" s="10" t="n">
        <v>2</v>
      </c>
      <c r="J579" s="10" t="n">
        <v>4</v>
      </c>
      <c r="K579" s="10" t="n">
        <v>97</v>
      </c>
      <c r="L579" s="10" t="n">
        <v>100</v>
      </c>
      <c r="M579" s="10" t="n">
        <v>186</v>
      </c>
    </row>
    <row r="580" customFormat="false" ht="15" hidden="false" customHeight="false" outlineLevel="0" collapsed="false">
      <c r="A580" s="10" t="s">
        <v>2079</v>
      </c>
      <c r="B580" s="10" t="s">
        <v>395</v>
      </c>
      <c r="C580" s="10" t="s">
        <v>2080</v>
      </c>
      <c r="D580" s="10" t="s">
        <v>397</v>
      </c>
      <c r="E580" s="10" t="s">
        <v>308</v>
      </c>
      <c r="F580" s="10" t="n">
        <v>14</v>
      </c>
      <c r="G580" s="10" t="s">
        <v>2081</v>
      </c>
      <c r="H580" s="10" t="n">
        <v>4</v>
      </c>
      <c r="I580" s="10" t="n">
        <v>2</v>
      </c>
      <c r="J580" s="10" t="n">
        <v>4</v>
      </c>
      <c r="K580" s="10" t="n">
        <v>96</v>
      </c>
      <c r="L580" s="10" t="n">
        <v>100</v>
      </c>
      <c r="M580" s="10" t="n">
        <v>113</v>
      </c>
    </row>
    <row r="581" customFormat="false" ht="15" hidden="false" customHeight="false" outlineLevel="0" collapsed="false">
      <c r="A581" s="10" t="s">
        <v>2082</v>
      </c>
      <c r="B581" s="10" t="s">
        <v>395</v>
      </c>
      <c r="C581" s="10" t="s">
        <v>2083</v>
      </c>
      <c r="D581" s="10" t="s">
        <v>499</v>
      </c>
      <c r="E581" s="10" t="s">
        <v>184</v>
      </c>
      <c r="F581" s="10" t="n">
        <v>13</v>
      </c>
      <c r="G581" s="10" t="s">
        <v>2084</v>
      </c>
      <c r="H581" s="10" t="n">
        <v>4</v>
      </c>
      <c r="I581" s="10" t="n">
        <v>2</v>
      </c>
      <c r="J581" s="10" t="n">
        <v>7</v>
      </c>
      <c r="K581" s="10" t="n">
        <v>95</v>
      </c>
      <c r="L581" s="10" t="n">
        <v>100</v>
      </c>
      <c r="M581" s="10" t="n">
        <v>168</v>
      </c>
    </row>
    <row r="582" customFormat="false" ht="15" hidden="false" customHeight="false" outlineLevel="0" collapsed="false">
      <c r="A582" s="10" t="s">
        <v>2085</v>
      </c>
      <c r="B582" s="10" t="s">
        <v>395</v>
      </c>
      <c r="C582" s="10" t="s">
        <v>2086</v>
      </c>
      <c r="D582" s="10" t="s">
        <v>499</v>
      </c>
      <c r="E582" s="10" t="s">
        <v>184</v>
      </c>
      <c r="F582" s="10" t="n">
        <v>14</v>
      </c>
      <c r="G582" s="10" t="s">
        <v>2087</v>
      </c>
      <c r="H582" s="10" t="n">
        <v>4</v>
      </c>
      <c r="I582" s="10" t="n">
        <v>2</v>
      </c>
      <c r="J582" s="10" t="n">
        <v>8</v>
      </c>
      <c r="K582" s="10" t="n">
        <v>96</v>
      </c>
      <c r="L582" s="10" t="n">
        <v>100</v>
      </c>
      <c r="M582" s="10" t="n">
        <v>167</v>
      </c>
    </row>
    <row r="583" customFormat="false" ht="15" hidden="false" customHeight="false" outlineLevel="0" collapsed="false">
      <c r="A583" s="10" t="s">
        <v>2088</v>
      </c>
      <c r="B583" s="10" t="s">
        <v>395</v>
      </c>
      <c r="C583" s="10" t="s">
        <v>2089</v>
      </c>
      <c r="D583" s="10" t="s">
        <v>499</v>
      </c>
      <c r="E583" s="10" t="s">
        <v>184</v>
      </c>
      <c r="F583" s="10" t="n">
        <v>13</v>
      </c>
      <c r="G583" s="10" t="s">
        <v>2081</v>
      </c>
      <c r="H583" s="10" t="n">
        <v>4</v>
      </c>
      <c r="I583" s="10" t="n">
        <v>2</v>
      </c>
      <c r="J583" s="10" t="n">
        <v>7</v>
      </c>
      <c r="K583" s="10" t="n">
        <v>95</v>
      </c>
      <c r="L583" s="10" t="n">
        <v>100</v>
      </c>
      <c r="M583" s="10" t="n">
        <v>163</v>
      </c>
    </row>
    <row r="584" customFormat="false" ht="15" hidden="false" customHeight="false" outlineLevel="0" collapsed="false">
      <c r="A584" s="10" t="s">
        <v>2090</v>
      </c>
      <c r="B584" s="10" t="s">
        <v>395</v>
      </c>
      <c r="C584" s="10" t="s">
        <v>2091</v>
      </c>
      <c r="D584" s="10" t="s">
        <v>499</v>
      </c>
      <c r="E584" s="10" t="s">
        <v>184</v>
      </c>
      <c r="F584" s="10" t="n">
        <v>14</v>
      </c>
      <c r="G584" s="10" t="s">
        <v>2092</v>
      </c>
      <c r="H584" s="10" t="n">
        <v>4</v>
      </c>
      <c r="I584" s="10" t="n">
        <v>2</v>
      </c>
      <c r="J584" s="10" t="n">
        <v>7</v>
      </c>
      <c r="K584" s="10" t="n">
        <v>95</v>
      </c>
      <c r="L584" s="10" t="n">
        <v>100</v>
      </c>
      <c r="M584" s="10" t="n">
        <v>172</v>
      </c>
    </row>
    <row r="585" customFormat="false" ht="15" hidden="false" customHeight="false" outlineLevel="0" collapsed="false">
      <c r="A585" s="10" t="s">
        <v>2093</v>
      </c>
      <c r="B585" s="10" t="s">
        <v>395</v>
      </c>
      <c r="C585" s="10" t="s">
        <v>2094</v>
      </c>
      <c r="D585" s="10" t="s">
        <v>499</v>
      </c>
      <c r="E585" s="10" t="s">
        <v>184</v>
      </c>
      <c r="F585" s="10" t="n">
        <v>14</v>
      </c>
      <c r="G585" s="10" t="s">
        <v>2095</v>
      </c>
      <c r="H585" s="10" t="n">
        <v>4</v>
      </c>
      <c r="I585" s="10" t="n">
        <v>2</v>
      </c>
      <c r="J585" s="10" t="n">
        <v>7</v>
      </c>
      <c r="K585" s="10" t="n">
        <v>96</v>
      </c>
      <c r="L585" s="10" t="n">
        <v>100</v>
      </c>
      <c r="M585" s="10" t="n">
        <v>169</v>
      </c>
    </row>
    <row r="586" customFormat="false" ht="15" hidden="false" customHeight="false" outlineLevel="0" collapsed="false">
      <c r="A586" s="10" t="s">
        <v>2096</v>
      </c>
      <c r="B586" s="10" t="s">
        <v>395</v>
      </c>
      <c r="C586" s="10" t="s">
        <v>2097</v>
      </c>
      <c r="D586" s="10" t="s">
        <v>499</v>
      </c>
      <c r="E586" s="10" t="s">
        <v>184</v>
      </c>
      <c r="F586" s="10" t="n">
        <v>14</v>
      </c>
      <c r="G586" s="10" t="s">
        <v>2098</v>
      </c>
      <c r="H586" s="10" t="n">
        <v>4</v>
      </c>
      <c r="I586" s="10" t="n">
        <v>2</v>
      </c>
      <c r="J586" s="10" t="n">
        <v>8</v>
      </c>
      <c r="K586" s="10" t="n">
        <v>95</v>
      </c>
      <c r="L586" s="10" t="n">
        <v>100</v>
      </c>
      <c r="M586" s="10" t="n">
        <v>167</v>
      </c>
    </row>
    <row r="587" customFormat="false" ht="15" hidden="false" customHeight="false" outlineLevel="0" collapsed="false">
      <c r="A587" s="10" t="s">
        <v>2099</v>
      </c>
      <c r="B587" s="10" t="s">
        <v>395</v>
      </c>
      <c r="C587" s="10" t="s">
        <v>2100</v>
      </c>
      <c r="D587" s="10" t="s">
        <v>397</v>
      </c>
      <c r="E587" s="10" t="s">
        <v>83</v>
      </c>
      <c r="F587" s="10" t="n">
        <v>12</v>
      </c>
      <c r="G587" s="10" t="s">
        <v>2101</v>
      </c>
      <c r="H587" s="10" t="n">
        <v>4</v>
      </c>
      <c r="I587" s="10" t="n">
        <v>2</v>
      </c>
      <c r="J587" s="10" t="n">
        <v>4</v>
      </c>
      <c r="K587" s="10" t="n">
        <v>94</v>
      </c>
      <c r="L587" s="10" t="n">
        <v>100</v>
      </c>
      <c r="M587" s="10" t="n">
        <v>195</v>
      </c>
    </row>
    <row r="588" customFormat="false" ht="15" hidden="false" customHeight="false" outlineLevel="0" collapsed="false">
      <c r="A588" s="10" t="s">
        <v>2102</v>
      </c>
      <c r="B588" s="10" t="s">
        <v>395</v>
      </c>
      <c r="C588" s="10" t="s">
        <v>2103</v>
      </c>
      <c r="D588" s="10" t="s">
        <v>450</v>
      </c>
      <c r="E588" s="10" t="s">
        <v>139</v>
      </c>
      <c r="F588" s="10" t="n">
        <v>15</v>
      </c>
      <c r="G588" s="10" t="s">
        <v>2104</v>
      </c>
      <c r="H588" s="10" t="n">
        <v>4</v>
      </c>
      <c r="I588" s="10" t="n">
        <v>2</v>
      </c>
      <c r="J588" s="10" t="n">
        <v>7</v>
      </c>
      <c r="K588" s="10" t="n">
        <v>91</v>
      </c>
      <c r="L588" s="10" t="n">
        <v>50</v>
      </c>
      <c r="M588" s="10" t="n">
        <v>174</v>
      </c>
    </row>
    <row r="589" customFormat="false" ht="15" hidden="false" customHeight="false" outlineLevel="0" collapsed="false">
      <c r="A589" s="10" t="s">
        <v>2105</v>
      </c>
      <c r="B589" s="10" t="s">
        <v>395</v>
      </c>
      <c r="C589" s="10" t="s">
        <v>2106</v>
      </c>
      <c r="D589" s="10" t="s">
        <v>499</v>
      </c>
      <c r="E589" s="10" t="s">
        <v>116</v>
      </c>
      <c r="F589" s="10" t="n">
        <v>14</v>
      </c>
      <c r="G589" s="10" t="s">
        <v>2107</v>
      </c>
      <c r="H589" s="10" t="n">
        <v>4</v>
      </c>
      <c r="I589" s="10" t="n">
        <v>2</v>
      </c>
      <c r="J589" s="10" t="n">
        <v>7</v>
      </c>
      <c r="K589" s="10" t="n">
        <v>98</v>
      </c>
      <c r="L589" s="10" t="n">
        <v>100</v>
      </c>
      <c r="M589" s="10" t="n">
        <v>232</v>
      </c>
    </row>
    <row r="590" customFormat="false" ht="15" hidden="false" customHeight="false" outlineLevel="0" collapsed="false">
      <c r="A590" s="10" t="s">
        <v>2108</v>
      </c>
      <c r="B590" s="10" t="s">
        <v>395</v>
      </c>
      <c r="C590" s="10" t="s">
        <v>2109</v>
      </c>
      <c r="D590" s="10" t="s">
        <v>433</v>
      </c>
      <c r="E590" s="10" t="s">
        <v>146</v>
      </c>
      <c r="F590" s="10" t="n">
        <v>13</v>
      </c>
      <c r="G590" s="10" t="s">
        <v>2110</v>
      </c>
      <c r="H590" s="10" t="n">
        <v>4</v>
      </c>
      <c r="I590" s="10" t="n">
        <v>2</v>
      </c>
      <c r="J590" s="10" t="n">
        <v>7</v>
      </c>
      <c r="K590" s="10" t="n">
        <v>93</v>
      </c>
      <c r="L590" s="10" t="n">
        <v>86</v>
      </c>
      <c r="M590" s="10" t="n">
        <v>152</v>
      </c>
    </row>
    <row r="591" customFormat="false" ht="15" hidden="false" customHeight="false" outlineLevel="0" collapsed="false">
      <c r="A591" s="10" t="s">
        <v>2111</v>
      </c>
      <c r="B591" s="10" t="s">
        <v>395</v>
      </c>
      <c r="C591" s="10" t="s">
        <v>2112</v>
      </c>
      <c r="D591" s="10" t="s">
        <v>417</v>
      </c>
      <c r="E591" s="10" t="s">
        <v>139</v>
      </c>
      <c r="F591" s="10" t="n">
        <v>15</v>
      </c>
      <c r="G591" s="10" t="s">
        <v>2113</v>
      </c>
      <c r="H591" s="10" t="n">
        <v>4</v>
      </c>
      <c r="I591" s="10" t="n">
        <v>2</v>
      </c>
      <c r="J591" s="10" t="n">
        <v>3</v>
      </c>
      <c r="K591" s="10" t="n">
        <v>97</v>
      </c>
      <c r="L591" s="10" t="n">
        <v>100</v>
      </c>
      <c r="M591" s="10" t="n">
        <v>222</v>
      </c>
    </row>
    <row r="592" customFormat="false" ht="15" hidden="false" customHeight="false" outlineLevel="0" collapsed="false">
      <c r="A592" s="10" t="s">
        <v>2114</v>
      </c>
      <c r="B592" s="10" t="s">
        <v>395</v>
      </c>
      <c r="C592" s="10" t="s">
        <v>2115</v>
      </c>
      <c r="D592" s="10" t="s">
        <v>401</v>
      </c>
      <c r="E592" s="10" t="s">
        <v>454</v>
      </c>
      <c r="F592" s="10" t="n">
        <v>13</v>
      </c>
      <c r="G592" s="10" t="s">
        <v>2116</v>
      </c>
      <c r="H592" s="10" t="n">
        <v>4</v>
      </c>
      <c r="I592" s="10" t="n">
        <v>2</v>
      </c>
      <c r="J592" s="10" t="n">
        <v>11</v>
      </c>
      <c r="K592" s="10" t="n">
        <v>93</v>
      </c>
      <c r="L592" s="10" t="n">
        <v>77</v>
      </c>
      <c r="M592" s="10" t="n">
        <v>234</v>
      </c>
    </row>
    <row r="593" customFormat="false" ht="15" hidden="false" customHeight="false" outlineLevel="0" collapsed="false">
      <c r="A593" s="10" t="s">
        <v>2117</v>
      </c>
      <c r="B593" s="10" t="s">
        <v>395</v>
      </c>
      <c r="C593" s="10" t="s">
        <v>2118</v>
      </c>
      <c r="D593" s="10" t="s">
        <v>401</v>
      </c>
      <c r="E593" s="10" t="s">
        <v>454</v>
      </c>
      <c r="F593" s="10" t="n">
        <v>13</v>
      </c>
      <c r="G593" s="10" t="s">
        <v>2119</v>
      </c>
      <c r="H593" s="10" t="n">
        <v>4</v>
      </c>
      <c r="I593" s="10" t="n">
        <v>2</v>
      </c>
      <c r="J593" s="10" t="n">
        <v>9</v>
      </c>
      <c r="K593" s="10" t="n">
        <v>93</v>
      </c>
      <c r="L593" s="10" t="n">
        <v>72</v>
      </c>
      <c r="M593" s="10" t="n">
        <v>195</v>
      </c>
    </row>
    <row r="594" customFormat="false" ht="15" hidden="false" customHeight="false" outlineLevel="0" collapsed="false">
      <c r="A594" s="10" t="s">
        <v>2120</v>
      </c>
      <c r="B594" s="10" t="s">
        <v>395</v>
      </c>
      <c r="C594" s="10" t="s">
        <v>2121</v>
      </c>
      <c r="D594" s="10" t="s">
        <v>401</v>
      </c>
      <c r="E594" s="10" t="s">
        <v>454</v>
      </c>
      <c r="F594" s="10" t="n">
        <v>13</v>
      </c>
      <c r="G594" s="10" t="s">
        <v>2122</v>
      </c>
      <c r="H594" s="10" t="n">
        <v>4</v>
      </c>
      <c r="I594" s="10" t="n">
        <v>2</v>
      </c>
      <c r="J594" s="10" t="n">
        <v>6</v>
      </c>
      <c r="K594" s="10" t="n">
        <v>95</v>
      </c>
      <c r="L594" s="10" t="n">
        <v>83</v>
      </c>
      <c r="M594" s="10" t="n">
        <v>242</v>
      </c>
    </row>
    <row r="595" customFormat="false" ht="15" hidden="false" customHeight="false" outlineLevel="0" collapsed="false">
      <c r="A595" s="10" t="s">
        <v>2123</v>
      </c>
      <c r="B595" s="10" t="s">
        <v>395</v>
      </c>
      <c r="C595" s="10" t="s">
        <v>2124</v>
      </c>
      <c r="D595" s="10" t="s">
        <v>401</v>
      </c>
      <c r="E595" s="10" t="s">
        <v>454</v>
      </c>
      <c r="F595" s="10" t="n">
        <v>13</v>
      </c>
      <c r="G595" s="10" t="s">
        <v>2125</v>
      </c>
      <c r="H595" s="10" t="n">
        <v>4</v>
      </c>
      <c r="I595" s="10" t="n">
        <v>2</v>
      </c>
      <c r="J595" s="10" t="n">
        <v>8</v>
      </c>
      <c r="K595" s="10" t="n">
        <v>95</v>
      </c>
      <c r="L595" s="10" t="n">
        <v>88</v>
      </c>
      <c r="M595" s="10" t="n">
        <v>260</v>
      </c>
    </row>
    <row r="596" customFormat="false" ht="15" hidden="false" customHeight="false" outlineLevel="0" collapsed="false">
      <c r="A596" s="10" t="s">
        <v>2126</v>
      </c>
      <c r="B596" s="10" t="s">
        <v>395</v>
      </c>
      <c r="C596" s="10" t="s">
        <v>2127</v>
      </c>
      <c r="D596" s="10" t="s">
        <v>405</v>
      </c>
      <c r="E596" s="10" t="s">
        <v>173</v>
      </c>
      <c r="F596" s="10" t="n">
        <v>13</v>
      </c>
      <c r="G596" s="10" t="s">
        <v>2128</v>
      </c>
      <c r="H596" s="10" t="n">
        <v>4</v>
      </c>
      <c r="I596" s="10" t="n">
        <v>2</v>
      </c>
      <c r="J596" s="10" t="n">
        <v>10</v>
      </c>
      <c r="K596" s="10" t="n">
        <v>98</v>
      </c>
      <c r="L596" s="10" t="n">
        <v>100</v>
      </c>
      <c r="M596" s="10" t="n">
        <v>228</v>
      </c>
    </row>
    <row r="597" customFormat="false" ht="15" hidden="false" customHeight="false" outlineLevel="0" collapsed="false">
      <c r="A597" s="10" t="s">
        <v>2129</v>
      </c>
      <c r="B597" s="10" t="s">
        <v>395</v>
      </c>
      <c r="C597" s="10" t="s">
        <v>2130</v>
      </c>
      <c r="D597" s="10" t="s">
        <v>405</v>
      </c>
      <c r="E597" s="10" t="s">
        <v>173</v>
      </c>
      <c r="F597" s="10" t="n">
        <v>13</v>
      </c>
      <c r="G597" s="10" t="s">
        <v>2131</v>
      </c>
      <c r="H597" s="10" t="n">
        <v>4</v>
      </c>
      <c r="I597" s="10" t="n">
        <v>2</v>
      </c>
      <c r="J597" s="10" t="n">
        <v>10</v>
      </c>
      <c r="K597" s="10" t="n">
        <v>98</v>
      </c>
      <c r="L597" s="10" t="n">
        <v>100</v>
      </c>
      <c r="M597" s="10" t="n">
        <v>207</v>
      </c>
    </row>
    <row r="598" customFormat="false" ht="15" hidden="false" customHeight="false" outlineLevel="0" collapsed="false">
      <c r="A598" s="10" t="s">
        <v>2132</v>
      </c>
      <c r="B598" s="10" t="s">
        <v>395</v>
      </c>
      <c r="C598" s="10" t="s">
        <v>2133</v>
      </c>
      <c r="D598" s="10" t="s">
        <v>405</v>
      </c>
      <c r="E598" s="10" t="s">
        <v>173</v>
      </c>
      <c r="F598" s="10" t="n">
        <v>13</v>
      </c>
      <c r="G598" s="10" t="s">
        <v>2134</v>
      </c>
      <c r="H598" s="10" t="n">
        <v>4</v>
      </c>
      <c r="I598" s="10" t="n">
        <v>2</v>
      </c>
      <c r="J598" s="10" t="n">
        <v>10</v>
      </c>
      <c r="K598" s="10" t="n">
        <v>97</v>
      </c>
      <c r="L598" s="10" t="n">
        <v>100</v>
      </c>
      <c r="M598" s="10" t="n">
        <v>194</v>
      </c>
    </row>
    <row r="599" customFormat="false" ht="15" hidden="false" customHeight="false" outlineLevel="0" collapsed="false">
      <c r="A599" s="10" t="s">
        <v>2135</v>
      </c>
      <c r="B599" s="10" t="s">
        <v>395</v>
      </c>
      <c r="C599" s="10" t="s">
        <v>2136</v>
      </c>
      <c r="D599" s="10" t="s">
        <v>405</v>
      </c>
      <c r="E599" s="10" t="s">
        <v>173</v>
      </c>
      <c r="F599" s="10" t="n">
        <v>13</v>
      </c>
      <c r="G599" s="10" t="s">
        <v>2137</v>
      </c>
      <c r="H599" s="10" t="n">
        <v>4</v>
      </c>
      <c r="I599" s="10" t="n">
        <v>2</v>
      </c>
      <c r="J599" s="10" t="n">
        <v>10</v>
      </c>
      <c r="K599" s="10" t="n">
        <v>97</v>
      </c>
      <c r="L599" s="10" t="n">
        <v>100</v>
      </c>
      <c r="M599" s="10" t="n">
        <v>164</v>
      </c>
    </row>
    <row r="600" customFormat="false" ht="15" hidden="false" customHeight="false" outlineLevel="0" collapsed="false">
      <c r="A600" s="10" t="s">
        <v>2138</v>
      </c>
      <c r="B600" s="10" t="s">
        <v>395</v>
      </c>
      <c r="C600" s="10" t="s">
        <v>2139</v>
      </c>
      <c r="D600" s="10" t="s">
        <v>405</v>
      </c>
      <c r="E600" s="10" t="s">
        <v>173</v>
      </c>
      <c r="F600" s="10" t="n">
        <v>13</v>
      </c>
      <c r="G600" s="10" t="s">
        <v>1661</v>
      </c>
      <c r="H600" s="10" t="n">
        <v>4</v>
      </c>
      <c r="I600" s="10" t="n">
        <v>2</v>
      </c>
      <c r="J600" s="10" t="n">
        <v>9</v>
      </c>
      <c r="K600" s="10" t="n">
        <v>98</v>
      </c>
      <c r="L600" s="10" t="n">
        <v>100</v>
      </c>
      <c r="M600" s="10" t="n">
        <v>280</v>
      </c>
    </row>
    <row r="601" customFormat="false" ht="15" hidden="false" customHeight="false" outlineLevel="0" collapsed="false">
      <c r="A601" s="10" t="s">
        <v>2140</v>
      </c>
      <c r="B601" s="10" t="s">
        <v>395</v>
      </c>
      <c r="C601" s="10" t="s">
        <v>2141</v>
      </c>
      <c r="D601" s="10" t="s">
        <v>405</v>
      </c>
      <c r="E601" s="10" t="s">
        <v>173</v>
      </c>
      <c r="F601" s="10" t="n">
        <v>13</v>
      </c>
      <c r="G601" s="10" t="s">
        <v>2142</v>
      </c>
      <c r="H601" s="10" t="n">
        <v>4</v>
      </c>
      <c r="I601" s="10" t="n">
        <v>2</v>
      </c>
      <c r="J601" s="10" t="n">
        <v>10</v>
      </c>
      <c r="K601" s="10" t="n">
        <v>98</v>
      </c>
      <c r="L601" s="10" t="n">
        <v>100</v>
      </c>
      <c r="M601" s="10" t="n">
        <v>214</v>
      </c>
    </row>
    <row r="602" customFormat="false" ht="15" hidden="false" customHeight="false" outlineLevel="0" collapsed="false">
      <c r="A602" s="10" t="s">
        <v>2143</v>
      </c>
      <c r="B602" s="10" t="s">
        <v>395</v>
      </c>
      <c r="C602" s="10" t="s">
        <v>2144</v>
      </c>
      <c r="D602" s="10" t="s">
        <v>405</v>
      </c>
      <c r="E602" s="10" t="s">
        <v>173</v>
      </c>
      <c r="F602" s="10" t="n">
        <v>13</v>
      </c>
      <c r="G602" s="10" t="s">
        <v>2145</v>
      </c>
      <c r="H602" s="10" t="n">
        <v>4</v>
      </c>
      <c r="I602" s="10" t="n">
        <v>2</v>
      </c>
      <c r="J602" s="10" t="n">
        <v>10</v>
      </c>
      <c r="K602" s="10" t="n">
        <v>98</v>
      </c>
      <c r="L602" s="10" t="n">
        <v>100</v>
      </c>
      <c r="M602" s="10" t="n">
        <v>194</v>
      </c>
    </row>
    <row r="603" customFormat="false" ht="15" hidden="false" customHeight="false" outlineLevel="0" collapsed="false">
      <c r="A603" s="10" t="s">
        <v>2146</v>
      </c>
      <c r="B603" s="10" t="s">
        <v>395</v>
      </c>
      <c r="C603" s="10" t="s">
        <v>2147</v>
      </c>
      <c r="D603" s="10" t="s">
        <v>405</v>
      </c>
      <c r="E603" s="10" t="s">
        <v>173</v>
      </c>
      <c r="F603" s="10" t="n">
        <v>13</v>
      </c>
      <c r="G603" s="10" t="s">
        <v>2148</v>
      </c>
      <c r="H603" s="10" t="n">
        <v>4</v>
      </c>
      <c r="I603" s="10" t="n">
        <v>2</v>
      </c>
      <c r="J603" s="10" t="n">
        <v>9</v>
      </c>
      <c r="K603" s="10" t="n">
        <v>98</v>
      </c>
      <c r="L603" s="10" t="n">
        <v>100</v>
      </c>
      <c r="M603" s="10" t="n">
        <v>208</v>
      </c>
    </row>
    <row r="604" customFormat="false" ht="15" hidden="false" customHeight="false" outlineLevel="0" collapsed="false">
      <c r="A604" s="10" t="s">
        <v>2149</v>
      </c>
      <c r="B604" s="10" t="s">
        <v>395</v>
      </c>
      <c r="C604" s="10" t="s">
        <v>2150</v>
      </c>
      <c r="D604" s="10" t="s">
        <v>405</v>
      </c>
      <c r="E604" s="10" t="s">
        <v>173</v>
      </c>
      <c r="F604" s="10" t="n">
        <v>13</v>
      </c>
      <c r="G604" s="10" t="s">
        <v>2151</v>
      </c>
      <c r="H604" s="10" t="n">
        <v>4</v>
      </c>
      <c r="I604" s="10" t="n">
        <v>2</v>
      </c>
      <c r="J604" s="10" t="n">
        <v>10</v>
      </c>
      <c r="K604" s="10" t="n">
        <v>98</v>
      </c>
      <c r="L604" s="10" t="n">
        <v>100</v>
      </c>
      <c r="M604" s="10" t="n">
        <v>274</v>
      </c>
    </row>
    <row r="605" customFormat="false" ht="15" hidden="false" customHeight="false" outlineLevel="0" collapsed="false">
      <c r="A605" s="10" t="s">
        <v>2152</v>
      </c>
      <c r="B605" s="10" t="s">
        <v>395</v>
      </c>
      <c r="C605" s="10" t="s">
        <v>2153</v>
      </c>
      <c r="D605" s="10" t="s">
        <v>405</v>
      </c>
      <c r="E605" s="10" t="s">
        <v>173</v>
      </c>
      <c r="F605" s="10" t="n">
        <v>13</v>
      </c>
      <c r="G605" s="10" t="s">
        <v>2154</v>
      </c>
      <c r="H605" s="10" t="n">
        <v>4</v>
      </c>
      <c r="I605" s="10" t="n">
        <v>2</v>
      </c>
      <c r="J605" s="10" t="n">
        <v>9</v>
      </c>
      <c r="K605" s="10" t="n">
        <v>98</v>
      </c>
      <c r="L605" s="10" t="n">
        <v>100</v>
      </c>
      <c r="M605" s="10" t="n">
        <v>212</v>
      </c>
    </row>
    <row r="606" customFormat="false" ht="15" hidden="false" customHeight="false" outlineLevel="0" collapsed="false">
      <c r="A606" s="10" t="s">
        <v>2155</v>
      </c>
      <c r="B606" s="10" t="s">
        <v>395</v>
      </c>
      <c r="C606" s="10" t="s">
        <v>2156</v>
      </c>
      <c r="D606" s="10" t="s">
        <v>405</v>
      </c>
      <c r="E606" s="10" t="s">
        <v>226</v>
      </c>
      <c r="F606" s="10" t="n">
        <v>14</v>
      </c>
      <c r="G606" s="10" t="s">
        <v>2157</v>
      </c>
      <c r="H606" s="10" t="n">
        <v>4</v>
      </c>
      <c r="I606" s="10" t="n">
        <v>2</v>
      </c>
      <c r="J606" s="10" t="n">
        <v>8</v>
      </c>
      <c r="K606" s="10" t="n">
        <v>96</v>
      </c>
      <c r="L606" s="10" t="n">
        <v>100</v>
      </c>
      <c r="M606" s="10" t="n">
        <v>244</v>
      </c>
    </row>
    <row r="607" customFormat="false" ht="15" hidden="false" customHeight="false" outlineLevel="0" collapsed="false">
      <c r="A607" s="10" t="s">
        <v>2158</v>
      </c>
      <c r="B607" s="10" t="s">
        <v>395</v>
      </c>
      <c r="C607" s="10" t="s">
        <v>2159</v>
      </c>
      <c r="D607" s="10" t="s">
        <v>461</v>
      </c>
      <c r="E607" s="10" t="s">
        <v>233</v>
      </c>
      <c r="F607" s="10" t="n">
        <v>13</v>
      </c>
      <c r="G607" s="10" t="s">
        <v>1081</v>
      </c>
      <c r="H607" s="10" t="n">
        <v>4</v>
      </c>
      <c r="I607" s="10" t="n">
        <v>2</v>
      </c>
      <c r="J607" s="10" t="n">
        <v>4</v>
      </c>
      <c r="K607" s="10" t="n">
        <v>91</v>
      </c>
      <c r="L607" s="10" t="n">
        <v>100</v>
      </c>
      <c r="M607" s="10" t="n">
        <v>166</v>
      </c>
    </row>
    <row r="608" customFormat="false" ht="15" hidden="false" customHeight="false" outlineLevel="0" collapsed="false">
      <c r="A608" s="10" t="s">
        <v>2160</v>
      </c>
      <c r="B608" s="10" t="s">
        <v>395</v>
      </c>
      <c r="C608" s="10" t="s">
        <v>2161</v>
      </c>
      <c r="D608" s="10" t="s">
        <v>401</v>
      </c>
      <c r="E608" s="10" t="s">
        <v>51</v>
      </c>
      <c r="F608" s="10" t="n">
        <v>13</v>
      </c>
      <c r="G608" s="10" t="s">
        <v>2162</v>
      </c>
      <c r="H608" s="10" t="n">
        <v>4</v>
      </c>
      <c r="I608" s="10" t="n">
        <v>2</v>
      </c>
      <c r="J608" s="10" t="n">
        <v>6</v>
      </c>
      <c r="K608" s="10" t="n">
        <v>96</v>
      </c>
      <c r="L608" s="10" t="n">
        <v>100</v>
      </c>
      <c r="M608" s="10" t="n">
        <v>143</v>
      </c>
    </row>
    <row r="609" customFormat="false" ht="15" hidden="false" customHeight="false" outlineLevel="0" collapsed="false">
      <c r="A609" s="10" t="s">
        <v>2163</v>
      </c>
      <c r="B609" s="10" t="s">
        <v>395</v>
      </c>
      <c r="C609" s="10" t="s">
        <v>2164</v>
      </c>
      <c r="D609" s="10" t="s">
        <v>401</v>
      </c>
      <c r="E609" s="10" t="s">
        <v>51</v>
      </c>
      <c r="F609" s="10" t="n">
        <v>12</v>
      </c>
      <c r="G609" s="10" t="s">
        <v>2165</v>
      </c>
      <c r="H609" s="10" t="n">
        <v>4</v>
      </c>
      <c r="I609" s="10" t="n">
        <v>2</v>
      </c>
      <c r="J609" s="10" t="n">
        <v>5</v>
      </c>
      <c r="K609" s="10" t="n">
        <v>96</v>
      </c>
      <c r="L609" s="10" t="n">
        <v>100</v>
      </c>
      <c r="M609" s="10" t="n">
        <v>187</v>
      </c>
    </row>
    <row r="610" customFormat="false" ht="15" hidden="false" customHeight="false" outlineLevel="0" collapsed="false">
      <c r="A610" s="10" t="s">
        <v>2166</v>
      </c>
      <c r="B610" s="10" t="s">
        <v>395</v>
      </c>
      <c r="C610" s="10" t="s">
        <v>2167</v>
      </c>
      <c r="D610" s="10" t="s">
        <v>401</v>
      </c>
      <c r="E610" s="10" t="s">
        <v>51</v>
      </c>
      <c r="F610" s="10" t="n">
        <v>13</v>
      </c>
      <c r="G610" s="10" t="s">
        <v>2165</v>
      </c>
      <c r="H610" s="10" t="n">
        <v>4</v>
      </c>
      <c r="I610" s="10" t="n">
        <v>2</v>
      </c>
      <c r="J610" s="10" t="n">
        <v>6</v>
      </c>
      <c r="K610" s="10" t="n">
        <v>94</v>
      </c>
      <c r="L610" s="10" t="n">
        <v>100</v>
      </c>
      <c r="M610" s="10" t="n">
        <v>123</v>
      </c>
    </row>
    <row r="611" customFormat="false" ht="15" hidden="false" customHeight="false" outlineLevel="0" collapsed="false">
      <c r="A611" s="10" t="s">
        <v>2168</v>
      </c>
      <c r="B611" s="10" t="s">
        <v>395</v>
      </c>
      <c r="C611" s="10" t="s">
        <v>2169</v>
      </c>
      <c r="D611" s="10" t="s">
        <v>401</v>
      </c>
      <c r="E611" s="10" t="s">
        <v>51</v>
      </c>
      <c r="F611" s="10" t="n">
        <v>13</v>
      </c>
      <c r="G611" s="10" t="s">
        <v>2170</v>
      </c>
      <c r="H611" s="10" t="n">
        <v>4</v>
      </c>
      <c r="I611" s="10" t="n">
        <v>2</v>
      </c>
      <c r="J611" s="10" t="n">
        <v>5</v>
      </c>
      <c r="K611" s="10" t="n">
        <v>96</v>
      </c>
      <c r="L611" s="10" t="n">
        <v>100</v>
      </c>
      <c r="M611" s="10" t="n">
        <v>203</v>
      </c>
    </row>
    <row r="612" customFormat="false" ht="15" hidden="false" customHeight="false" outlineLevel="0" collapsed="false">
      <c r="A612" s="10" t="s">
        <v>2171</v>
      </c>
      <c r="B612" s="10" t="s">
        <v>395</v>
      </c>
      <c r="C612" s="10" t="s">
        <v>2172</v>
      </c>
      <c r="D612" s="10" t="s">
        <v>401</v>
      </c>
      <c r="E612" s="10" t="s">
        <v>51</v>
      </c>
      <c r="F612" s="10" t="n">
        <v>13</v>
      </c>
      <c r="G612" s="10" t="s">
        <v>2173</v>
      </c>
      <c r="H612" s="10" t="n">
        <v>4</v>
      </c>
      <c r="I612" s="10" t="n">
        <v>2</v>
      </c>
      <c r="J612" s="10" t="n">
        <v>6</v>
      </c>
      <c r="K612" s="10" t="n">
        <v>96</v>
      </c>
      <c r="L612" s="10" t="n">
        <v>100</v>
      </c>
      <c r="M612" s="10" t="n">
        <v>156</v>
      </c>
    </row>
    <row r="613" customFormat="false" ht="15" hidden="false" customHeight="false" outlineLevel="0" collapsed="false">
      <c r="A613" s="10" t="s">
        <v>2174</v>
      </c>
      <c r="B613" s="10" t="s">
        <v>395</v>
      </c>
      <c r="C613" s="10" t="s">
        <v>2175</v>
      </c>
      <c r="D613" s="10" t="s">
        <v>401</v>
      </c>
      <c r="E613" s="10" t="s">
        <v>51</v>
      </c>
      <c r="F613" s="10" t="n">
        <v>13</v>
      </c>
      <c r="G613" s="10" t="s">
        <v>2176</v>
      </c>
      <c r="H613" s="10" t="n">
        <v>4</v>
      </c>
      <c r="I613" s="10" t="n">
        <v>2</v>
      </c>
      <c r="J613" s="10" t="n">
        <v>6</v>
      </c>
      <c r="K613" s="10" t="n">
        <v>95</v>
      </c>
      <c r="L613" s="10" t="n">
        <v>100</v>
      </c>
      <c r="M613" s="10" t="n">
        <v>128</v>
      </c>
    </row>
    <row r="614" customFormat="false" ht="15" hidden="false" customHeight="false" outlineLevel="0" collapsed="false">
      <c r="A614" s="10" t="s">
        <v>2177</v>
      </c>
      <c r="B614" s="10" t="s">
        <v>395</v>
      </c>
      <c r="C614" s="10" t="s">
        <v>2178</v>
      </c>
      <c r="D614" s="10" t="s">
        <v>428</v>
      </c>
      <c r="E614" s="10" t="s">
        <v>51</v>
      </c>
      <c r="F614" s="10" t="n">
        <v>13</v>
      </c>
      <c r="G614" s="10" t="s">
        <v>2179</v>
      </c>
      <c r="H614" s="10" t="n">
        <v>4</v>
      </c>
      <c r="I614" s="10" t="n">
        <v>2</v>
      </c>
      <c r="J614" s="10" t="n">
        <v>6</v>
      </c>
      <c r="K614" s="10" t="n">
        <v>96</v>
      </c>
      <c r="L614" s="10" t="n">
        <v>100</v>
      </c>
      <c r="M614" s="10" t="n">
        <v>132</v>
      </c>
    </row>
    <row r="615" customFormat="false" ht="15" hidden="false" customHeight="false" outlineLevel="0" collapsed="false">
      <c r="A615" s="10" t="s">
        <v>2180</v>
      </c>
      <c r="B615" s="10" t="s">
        <v>395</v>
      </c>
      <c r="C615" s="10" t="s">
        <v>2181</v>
      </c>
      <c r="D615" s="10" t="s">
        <v>428</v>
      </c>
      <c r="E615" s="10" t="s">
        <v>51</v>
      </c>
      <c r="F615" s="10" t="n">
        <v>14</v>
      </c>
      <c r="G615" s="10" t="s">
        <v>2182</v>
      </c>
      <c r="H615" s="10" t="n">
        <v>4</v>
      </c>
      <c r="I615" s="10" t="n">
        <v>2</v>
      </c>
      <c r="J615" s="10" t="n">
        <v>6</v>
      </c>
      <c r="K615" s="10" t="n">
        <v>95</v>
      </c>
      <c r="L615" s="10" t="n">
        <v>100</v>
      </c>
      <c r="M615" s="10" t="n">
        <v>161</v>
      </c>
    </row>
    <row r="616" customFormat="false" ht="15" hidden="false" customHeight="false" outlineLevel="0" collapsed="false">
      <c r="A616" s="10" t="s">
        <v>2183</v>
      </c>
      <c r="B616" s="10" t="s">
        <v>395</v>
      </c>
      <c r="C616" s="10" t="s">
        <v>2184</v>
      </c>
      <c r="D616" s="10" t="s">
        <v>433</v>
      </c>
      <c r="E616" s="10" t="s">
        <v>191</v>
      </c>
      <c r="F616" s="10" t="n">
        <v>13</v>
      </c>
      <c r="G616" s="10" t="s">
        <v>2185</v>
      </c>
      <c r="H616" s="10" t="n">
        <v>4</v>
      </c>
      <c r="I616" s="10" t="n">
        <v>2</v>
      </c>
      <c r="J616" s="10" t="n">
        <v>5</v>
      </c>
      <c r="K616" s="10" t="n">
        <v>95</v>
      </c>
      <c r="L616" s="10" t="n">
        <v>100</v>
      </c>
      <c r="M616" s="10" t="n">
        <v>152</v>
      </c>
    </row>
    <row r="617" customFormat="false" ht="15" hidden="false" customHeight="false" outlineLevel="0" collapsed="false">
      <c r="A617" s="10" t="s">
        <v>2186</v>
      </c>
      <c r="B617" s="10" t="s">
        <v>395</v>
      </c>
      <c r="C617" s="10" t="s">
        <v>2187</v>
      </c>
      <c r="D617" s="10" t="s">
        <v>499</v>
      </c>
      <c r="E617" s="10" t="s">
        <v>364</v>
      </c>
      <c r="F617" s="10" t="n">
        <v>13</v>
      </c>
      <c r="G617" s="10" t="s">
        <v>2188</v>
      </c>
      <c r="H617" s="10" t="n">
        <v>4</v>
      </c>
      <c r="I617" s="10" t="n">
        <v>2</v>
      </c>
      <c r="J617" s="10" t="n">
        <v>8</v>
      </c>
      <c r="K617" s="10" t="n">
        <v>96</v>
      </c>
      <c r="L617" s="10" t="n">
        <v>100</v>
      </c>
      <c r="M617" s="10" t="n">
        <v>184</v>
      </c>
    </row>
    <row r="618" customFormat="false" ht="15" hidden="false" customHeight="false" outlineLevel="0" collapsed="false">
      <c r="A618" s="10" t="s">
        <v>2189</v>
      </c>
      <c r="B618" s="10" t="s">
        <v>395</v>
      </c>
      <c r="C618" s="10" t="s">
        <v>2190</v>
      </c>
      <c r="D618" s="10" t="s">
        <v>499</v>
      </c>
      <c r="E618" s="10" t="s">
        <v>364</v>
      </c>
      <c r="F618" s="10" t="n">
        <v>13</v>
      </c>
      <c r="G618" s="10" t="s">
        <v>2191</v>
      </c>
      <c r="H618" s="10" t="n">
        <v>4</v>
      </c>
      <c r="I618" s="10" t="n">
        <v>2</v>
      </c>
      <c r="J618" s="10" t="n">
        <v>10</v>
      </c>
      <c r="K618" s="10" t="n">
        <v>96</v>
      </c>
      <c r="L618" s="10" t="n">
        <v>100</v>
      </c>
      <c r="M618" s="10" t="n">
        <v>220</v>
      </c>
    </row>
    <row r="619" customFormat="false" ht="15" hidden="false" customHeight="false" outlineLevel="0" collapsed="false">
      <c r="A619" s="10" t="s">
        <v>2192</v>
      </c>
      <c r="B619" s="10" t="s">
        <v>395</v>
      </c>
      <c r="C619" s="10" t="s">
        <v>2193</v>
      </c>
      <c r="D619" s="10" t="s">
        <v>499</v>
      </c>
      <c r="E619" s="10" t="s">
        <v>364</v>
      </c>
      <c r="F619" s="10" t="n">
        <v>13</v>
      </c>
      <c r="G619" s="10" t="s">
        <v>1598</v>
      </c>
      <c r="H619" s="10" t="n">
        <v>4</v>
      </c>
      <c r="I619" s="10" t="n">
        <v>2</v>
      </c>
      <c r="J619" s="10" t="n">
        <v>8</v>
      </c>
      <c r="K619" s="10" t="n">
        <v>96</v>
      </c>
      <c r="L619" s="10" t="n">
        <v>100</v>
      </c>
      <c r="M619" s="10" t="n">
        <v>157</v>
      </c>
    </row>
    <row r="620" customFormat="false" ht="15" hidden="false" customHeight="false" outlineLevel="0" collapsed="false">
      <c r="A620" s="10" t="s">
        <v>2194</v>
      </c>
      <c r="B620" s="10" t="s">
        <v>395</v>
      </c>
      <c r="C620" s="10" t="s">
        <v>2195</v>
      </c>
      <c r="D620" s="10" t="s">
        <v>499</v>
      </c>
      <c r="E620" s="10" t="s">
        <v>364</v>
      </c>
      <c r="F620" s="10" t="n">
        <v>13</v>
      </c>
      <c r="G620" s="10" t="s">
        <v>2196</v>
      </c>
      <c r="H620" s="10" t="n">
        <v>4</v>
      </c>
      <c r="I620" s="10" t="n">
        <v>2</v>
      </c>
      <c r="J620" s="10" t="n">
        <v>7</v>
      </c>
      <c r="K620" s="10" t="n">
        <v>95</v>
      </c>
      <c r="L620" s="10" t="n">
        <v>100</v>
      </c>
      <c r="M620" s="10" t="n">
        <v>219</v>
      </c>
    </row>
    <row r="621" customFormat="false" ht="15" hidden="false" customHeight="false" outlineLevel="0" collapsed="false">
      <c r="A621" s="10" t="s">
        <v>2197</v>
      </c>
      <c r="B621" s="10" t="s">
        <v>395</v>
      </c>
      <c r="C621" s="10" t="s">
        <v>2198</v>
      </c>
      <c r="D621" s="10" t="s">
        <v>499</v>
      </c>
      <c r="E621" s="10" t="s">
        <v>364</v>
      </c>
      <c r="F621" s="10" t="n">
        <v>13</v>
      </c>
      <c r="G621" s="10" t="s">
        <v>2199</v>
      </c>
      <c r="H621" s="10" t="n">
        <v>4</v>
      </c>
      <c r="I621" s="10" t="n">
        <v>2</v>
      </c>
      <c r="J621" s="10" t="n">
        <v>8</v>
      </c>
      <c r="K621" s="10" t="n">
        <v>93</v>
      </c>
      <c r="L621" s="10" t="n">
        <v>100</v>
      </c>
      <c r="M621" s="10" t="n">
        <v>220</v>
      </c>
    </row>
    <row r="622" customFormat="false" ht="15" hidden="false" customHeight="false" outlineLevel="0" collapsed="false">
      <c r="A622" s="10" t="s">
        <v>2200</v>
      </c>
      <c r="B622" s="10" t="s">
        <v>395</v>
      </c>
      <c r="C622" s="10" t="s">
        <v>2201</v>
      </c>
      <c r="D622" s="10" t="s">
        <v>499</v>
      </c>
      <c r="E622" s="10" t="s">
        <v>364</v>
      </c>
      <c r="F622" s="10" t="n">
        <v>12</v>
      </c>
      <c r="G622" s="10" t="s">
        <v>1629</v>
      </c>
      <c r="H622" s="10" t="n">
        <v>4</v>
      </c>
      <c r="I622" s="10" t="n">
        <v>2</v>
      </c>
      <c r="J622" s="10" t="n">
        <v>9</v>
      </c>
      <c r="K622" s="10" t="n">
        <v>97</v>
      </c>
      <c r="L622" s="10" t="n">
        <v>100</v>
      </c>
      <c r="M622" s="10" t="n">
        <v>306</v>
      </c>
    </row>
    <row r="623" customFormat="false" ht="15" hidden="false" customHeight="false" outlineLevel="0" collapsed="false">
      <c r="A623" s="10" t="s">
        <v>2202</v>
      </c>
      <c r="B623" s="10" t="s">
        <v>395</v>
      </c>
      <c r="C623" s="10" t="s">
        <v>2203</v>
      </c>
      <c r="D623" s="10" t="s">
        <v>499</v>
      </c>
      <c r="E623" s="10" t="s">
        <v>364</v>
      </c>
      <c r="F623" s="10" t="n">
        <v>13</v>
      </c>
      <c r="G623" s="10" t="s">
        <v>2204</v>
      </c>
      <c r="H623" s="10" t="n">
        <v>4</v>
      </c>
      <c r="I623" s="10" t="n">
        <v>2</v>
      </c>
      <c r="J623" s="10" t="n">
        <v>8</v>
      </c>
      <c r="K623" s="10" t="n">
        <v>98</v>
      </c>
      <c r="L623" s="10" t="n">
        <v>100</v>
      </c>
      <c r="M623" s="10" t="n">
        <v>257</v>
      </c>
    </row>
    <row r="624" customFormat="false" ht="15" hidden="false" customHeight="false" outlineLevel="0" collapsed="false">
      <c r="A624" s="10" t="s">
        <v>2205</v>
      </c>
      <c r="B624" s="10" t="s">
        <v>395</v>
      </c>
      <c r="C624" s="10" t="s">
        <v>2206</v>
      </c>
      <c r="D624" s="10" t="s">
        <v>499</v>
      </c>
      <c r="E624" s="10" t="s">
        <v>364</v>
      </c>
      <c r="F624" s="10" t="n">
        <v>13</v>
      </c>
      <c r="G624" s="10" t="s">
        <v>2207</v>
      </c>
      <c r="H624" s="10" t="n">
        <v>4</v>
      </c>
      <c r="I624" s="10" t="n">
        <v>2</v>
      </c>
      <c r="J624" s="10" t="n">
        <v>8</v>
      </c>
      <c r="K624" s="10" t="n">
        <v>95</v>
      </c>
      <c r="L624" s="10" t="n">
        <v>100</v>
      </c>
      <c r="M624" s="10" t="n">
        <v>251</v>
      </c>
    </row>
    <row r="625" customFormat="false" ht="15" hidden="false" customHeight="false" outlineLevel="0" collapsed="false">
      <c r="A625" s="10" t="s">
        <v>2208</v>
      </c>
      <c r="B625" s="10" t="s">
        <v>395</v>
      </c>
      <c r="C625" s="10" t="s">
        <v>2209</v>
      </c>
      <c r="D625" s="10" t="s">
        <v>401</v>
      </c>
      <c r="E625" s="10" t="s">
        <v>196</v>
      </c>
      <c r="F625" s="10" t="n">
        <v>12</v>
      </c>
      <c r="G625" s="10" t="s">
        <v>2210</v>
      </c>
      <c r="H625" s="10" t="n">
        <v>4</v>
      </c>
      <c r="I625" s="10" t="n">
        <v>2</v>
      </c>
      <c r="J625" s="10" t="n">
        <v>4</v>
      </c>
      <c r="K625" s="10" t="n">
        <v>94</v>
      </c>
      <c r="L625" s="10" t="n">
        <v>75</v>
      </c>
      <c r="M625" s="10" t="n">
        <v>250</v>
      </c>
    </row>
    <row r="626" customFormat="false" ht="15" hidden="false" customHeight="false" outlineLevel="0" collapsed="false">
      <c r="A626" s="10" t="s">
        <v>2211</v>
      </c>
      <c r="B626" s="10" t="s">
        <v>2212</v>
      </c>
      <c r="C626" s="10" t="s">
        <v>2213</v>
      </c>
      <c r="D626" s="10" t="s">
        <v>2214</v>
      </c>
      <c r="E626" s="10"/>
      <c r="F626" s="10" t="n">
        <v>11</v>
      </c>
      <c r="G626" s="10" t="s">
        <v>2215</v>
      </c>
      <c r="H626" s="10" t="n">
        <v>5</v>
      </c>
      <c r="I626" s="10" t="n">
        <v>0</v>
      </c>
      <c r="J626" s="10" t="n">
        <v>3</v>
      </c>
      <c r="K626" s="10" t="n">
        <v>93</v>
      </c>
      <c r="L626" s="10" t="n">
        <v>67</v>
      </c>
      <c r="M626" s="10" t="n">
        <v>311</v>
      </c>
    </row>
    <row r="627" customFormat="false" ht="15" hidden="false" customHeight="false" outlineLevel="0" collapsed="false">
      <c r="A627" s="10" t="s">
        <v>2216</v>
      </c>
      <c r="B627" s="10" t="s">
        <v>2212</v>
      </c>
      <c r="C627" s="10" t="s">
        <v>2217</v>
      </c>
      <c r="D627" s="10" t="s">
        <v>2214</v>
      </c>
      <c r="E627" s="10" t="s">
        <v>2218</v>
      </c>
      <c r="F627" s="10" t="n">
        <v>12</v>
      </c>
      <c r="G627" s="10" t="s">
        <v>2219</v>
      </c>
      <c r="H627" s="10" t="n">
        <v>4</v>
      </c>
      <c r="I627" s="10" t="n">
        <v>2</v>
      </c>
      <c r="J627" s="10" t="n">
        <v>5</v>
      </c>
      <c r="K627" s="10" t="n">
        <v>97</v>
      </c>
      <c r="L627" s="10" t="n">
        <v>100</v>
      </c>
      <c r="M627" s="10" t="n">
        <v>299</v>
      </c>
    </row>
    <row r="628" customFormat="false" ht="15" hidden="false" customHeight="false" outlineLevel="0" collapsed="false">
      <c r="A628" s="10" t="s">
        <v>2220</v>
      </c>
      <c r="B628" s="10" t="s">
        <v>2212</v>
      </c>
      <c r="C628" s="10" t="s">
        <v>2221</v>
      </c>
      <c r="D628" s="10" t="s">
        <v>2214</v>
      </c>
      <c r="E628" s="10" t="s">
        <v>2222</v>
      </c>
      <c r="F628" s="10" t="n">
        <v>11</v>
      </c>
      <c r="G628" s="10" t="s">
        <v>2223</v>
      </c>
      <c r="H628" s="10" t="n">
        <v>5</v>
      </c>
      <c r="I628" s="10" t="n">
        <v>2</v>
      </c>
      <c r="J628" s="10" t="n">
        <v>7</v>
      </c>
      <c r="K628" s="10" t="n">
        <v>98</v>
      </c>
      <c r="L628" s="10" t="n">
        <v>100</v>
      </c>
      <c r="M628" s="10" t="n">
        <v>387</v>
      </c>
    </row>
    <row r="629" customFormat="false" ht="15" hidden="false" customHeight="false" outlineLevel="0" collapsed="false">
      <c r="A629" s="10" t="s">
        <v>2224</v>
      </c>
      <c r="B629" s="10" t="s">
        <v>2212</v>
      </c>
      <c r="C629" s="10" t="s">
        <v>2225</v>
      </c>
      <c r="D629" s="10" t="s">
        <v>679</v>
      </c>
      <c r="E629" s="10"/>
      <c r="F629" s="10" t="n">
        <v>11</v>
      </c>
      <c r="G629" s="10" t="s">
        <v>2226</v>
      </c>
      <c r="H629" s="10" t="n">
        <v>4</v>
      </c>
      <c r="I629" s="10" t="n">
        <v>2</v>
      </c>
      <c r="J629" s="10" t="n">
        <v>3</v>
      </c>
      <c r="K629" s="10" t="n">
        <v>96</v>
      </c>
      <c r="L629" s="10" t="n">
        <v>100</v>
      </c>
      <c r="M629" s="10" t="n">
        <v>235</v>
      </c>
    </row>
    <row r="630" customFormat="false" ht="15" hidden="false" customHeight="false" outlineLevel="0" collapsed="false">
      <c r="A630" s="10" t="s">
        <v>2227</v>
      </c>
      <c r="B630" s="10" t="s">
        <v>2212</v>
      </c>
      <c r="C630" s="10" t="s">
        <v>2228</v>
      </c>
      <c r="D630" s="10" t="s">
        <v>2214</v>
      </c>
      <c r="E630" s="10" t="s">
        <v>2229</v>
      </c>
      <c r="F630" s="10" t="n">
        <v>10</v>
      </c>
      <c r="G630" s="10" t="s">
        <v>2230</v>
      </c>
      <c r="H630" s="10" t="n">
        <v>4</v>
      </c>
      <c r="I630" s="10" t="n">
        <v>2</v>
      </c>
      <c r="J630" s="10" t="n">
        <v>4</v>
      </c>
      <c r="K630" s="10" t="n">
        <v>99</v>
      </c>
      <c r="L630" s="10" t="n">
        <v>100</v>
      </c>
      <c r="M630" s="10" t="n">
        <v>227</v>
      </c>
    </row>
    <row r="631" customFormat="false" ht="15" hidden="false" customHeight="false" outlineLevel="0" collapsed="false">
      <c r="A631" s="10" t="s">
        <v>2231</v>
      </c>
      <c r="B631" s="10" t="s">
        <v>2212</v>
      </c>
      <c r="C631" s="10" t="s">
        <v>2232</v>
      </c>
      <c r="D631" s="10" t="s">
        <v>2214</v>
      </c>
      <c r="E631" s="10"/>
      <c r="F631" s="10" t="n">
        <v>10</v>
      </c>
      <c r="G631" s="10" t="s">
        <v>2233</v>
      </c>
      <c r="H631" s="10" t="n">
        <v>4</v>
      </c>
      <c r="I631" s="10" t="n">
        <v>2</v>
      </c>
      <c r="J631" s="10" t="n">
        <v>8</v>
      </c>
      <c r="K631" s="10" t="n">
        <v>97</v>
      </c>
      <c r="L631" s="10" t="n">
        <v>100</v>
      </c>
      <c r="M631" s="10" t="n">
        <v>235</v>
      </c>
    </row>
    <row r="632" customFormat="false" ht="15" hidden="false" customHeight="false" outlineLevel="0" collapsed="false">
      <c r="A632" s="10" t="s">
        <v>2234</v>
      </c>
      <c r="B632" s="10" t="s">
        <v>2212</v>
      </c>
      <c r="C632" s="10" t="s">
        <v>2235</v>
      </c>
      <c r="D632" s="10" t="s">
        <v>679</v>
      </c>
      <c r="E632" s="10" t="s">
        <v>96</v>
      </c>
      <c r="F632" s="10" t="n">
        <v>11</v>
      </c>
      <c r="G632" s="10" t="s">
        <v>2236</v>
      </c>
      <c r="H632" s="10" t="n">
        <v>4</v>
      </c>
      <c r="I632" s="10" t="n">
        <v>2</v>
      </c>
      <c r="J632" s="10" t="n">
        <v>4</v>
      </c>
      <c r="K632" s="10" t="n">
        <v>90</v>
      </c>
      <c r="L632" s="10" t="n">
        <v>75</v>
      </c>
      <c r="M632" s="10" t="n">
        <v>217</v>
      </c>
    </row>
    <row r="633" customFormat="false" ht="15" hidden="false" customHeight="false" outlineLevel="0" collapsed="false">
      <c r="A633" s="10" t="s">
        <v>2237</v>
      </c>
      <c r="B633" s="10" t="s">
        <v>2212</v>
      </c>
      <c r="C633" s="10" t="s">
        <v>2238</v>
      </c>
      <c r="D633" s="10" t="s">
        <v>2214</v>
      </c>
      <c r="E633" s="10" t="s">
        <v>203</v>
      </c>
      <c r="F633" s="10" t="n">
        <v>10</v>
      </c>
      <c r="G633" s="10" t="s">
        <v>2239</v>
      </c>
      <c r="H633" s="10" t="n">
        <v>5</v>
      </c>
      <c r="I633" s="10" t="n">
        <v>2</v>
      </c>
      <c r="J633" s="10" t="n">
        <v>5</v>
      </c>
      <c r="K633" s="10" t="n">
        <v>99</v>
      </c>
      <c r="L633" s="10" t="n">
        <v>100</v>
      </c>
      <c r="M633" s="10" t="n">
        <v>384</v>
      </c>
    </row>
    <row r="634" customFormat="false" ht="15" hidden="false" customHeight="false" outlineLevel="0" collapsed="false">
      <c r="A634" s="10" t="s">
        <v>2240</v>
      </c>
      <c r="B634" s="10" t="s">
        <v>2212</v>
      </c>
      <c r="C634" s="10" t="s">
        <v>2241</v>
      </c>
      <c r="D634" s="10" t="s">
        <v>2214</v>
      </c>
      <c r="E634" s="10" t="s">
        <v>233</v>
      </c>
      <c r="F634" s="10" t="n">
        <v>10</v>
      </c>
      <c r="G634" s="10" t="s">
        <v>2242</v>
      </c>
      <c r="H634" s="10" t="n">
        <v>5</v>
      </c>
      <c r="I634" s="10" t="n">
        <v>2</v>
      </c>
      <c r="J634" s="10" t="n">
        <v>4</v>
      </c>
      <c r="K634" s="10" t="n">
        <v>98</v>
      </c>
      <c r="L634" s="10" t="n">
        <v>100</v>
      </c>
      <c r="M634" s="10" t="n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1"/>
    <col collapsed="false" customWidth="true" hidden="false" outlineLevel="0" max="7" min="6" style="0" width="60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10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18" t="s">
        <v>65</v>
      </c>
      <c r="B1" s="18" t="s">
        <v>2243</v>
      </c>
      <c r="C1" s="18" t="s">
        <v>2244</v>
      </c>
      <c r="D1" s="18" t="s">
        <v>393</v>
      </c>
      <c r="E1" s="18" t="s">
        <v>2245</v>
      </c>
      <c r="F1" s="18" t="s">
        <v>2246</v>
      </c>
      <c r="G1" s="18" t="s">
        <v>2247</v>
      </c>
      <c r="H1" s="18" t="s">
        <v>67</v>
      </c>
      <c r="I1" s="18" t="s">
        <v>2248</v>
      </c>
      <c r="J1" s="18" t="s">
        <v>2249</v>
      </c>
      <c r="K1" s="18" t="s">
        <v>2250</v>
      </c>
    </row>
    <row r="2" customFormat="false" ht="15" hidden="false" customHeight="false" outlineLevel="0" collapsed="false">
      <c r="A2" s="10" t="s">
        <v>2251</v>
      </c>
      <c r="B2" s="10" t="s">
        <v>2252</v>
      </c>
      <c r="C2" s="10" t="s">
        <v>2251</v>
      </c>
      <c r="D2" s="10" t="n">
        <v>21</v>
      </c>
      <c r="E2" s="10" t="s">
        <v>2253</v>
      </c>
      <c r="F2" s="10" t="s">
        <v>2254</v>
      </c>
      <c r="G2" s="10" t="s">
        <v>2255</v>
      </c>
      <c r="H2" s="10" t="n">
        <v>8</v>
      </c>
      <c r="I2" s="10" t="s">
        <v>2256</v>
      </c>
      <c r="J2" s="10" t="s">
        <v>2257</v>
      </c>
      <c r="K2" s="10" t="s">
        <v>2258</v>
      </c>
    </row>
    <row r="3" customFormat="false" ht="15" hidden="false" customHeight="false" outlineLevel="0" collapsed="false">
      <c r="A3" s="10" t="s">
        <v>2259</v>
      </c>
      <c r="B3" s="10" t="s">
        <v>2252</v>
      </c>
      <c r="C3" s="10" t="s">
        <v>2259</v>
      </c>
      <c r="D3" s="10" t="n">
        <v>22</v>
      </c>
      <c r="E3" s="10" t="s">
        <v>2260</v>
      </c>
      <c r="F3" s="10" t="s">
        <v>2261</v>
      </c>
      <c r="G3" s="10" t="s">
        <v>2262</v>
      </c>
      <c r="H3" s="10" t="n">
        <v>2</v>
      </c>
      <c r="I3" s="10" t="s">
        <v>2263</v>
      </c>
      <c r="J3" s="10" t="s">
        <v>2257</v>
      </c>
      <c r="K3" s="10" t="s">
        <v>2258</v>
      </c>
    </row>
    <row r="4" customFormat="false" ht="15" hidden="false" customHeight="false" outlineLevel="0" collapsed="false">
      <c r="A4" s="10" t="s">
        <v>2264</v>
      </c>
      <c r="B4" s="10" t="s">
        <v>2252</v>
      </c>
      <c r="C4" s="10" t="s">
        <v>2264</v>
      </c>
      <c r="D4" s="10" t="n">
        <v>23</v>
      </c>
      <c r="E4" s="10" t="s">
        <v>2265</v>
      </c>
      <c r="F4" s="10" t="s">
        <v>2266</v>
      </c>
      <c r="G4" s="10" t="s">
        <v>2267</v>
      </c>
      <c r="H4" s="10" t="n">
        <v>1</v>
      </c>
      <c r="I4" s="10" t="s">
        <v>1556</v>
      </c>
      <c r="J4" s="10" t="s">
        <v>2257</v>
      </c>
      <c r="K4" s="10" t="s">
        <v>2258</v>
      </c>
    </row>
    <row r="5" customFormat="false" ht="15" hidden="false" customHeight="false" outlineLevel="0" collapsed="false">
      <c r="A5" s="10" t="s">
        <v>2268</v>
      </c>
      <c r="B5" s="10" t="s">
        <v>2252</v>
      </c>
      <c r="C5" s="10" t="s">
        <v>2268</v>
      </c>
      <c r="D5" s="10" t="n">
        <v>12</v>
      </c>
      <c r="E5" s="10" t="s">
        <v>2269</v>
      </c>
      <c r="F5" s="10" t="s">
        <v>2270</v>
      </c>
      <c r="G5" s="10" t="s">
        <v>2271</v>
      </c>
      <c r="H5" s="10" t="n">
        <v>2</v>
      </c>
      <c r="I5" s="10" t="s">
        <v>2272</v>
      </c>
      <c r="J5" s="10" t="s">
        <v>2257</v>
      </c>
      <c r="K5" s="10" t="s">
        <v>2258</v>
      </c>
    </row>
    <row r="6" customFormat="false" ht="15" hidden="false" customHeight="false" outlineLevel="0" collapsed="false">
      <c r="A6" s="10" t="s">
        <v>2273</v>
      </c>
      <c r="B6" s="10" t="s">
        <v>2252</v>
      </c>
      <c r="C6" s="10" t="s">
        <v>2273</v>
      </c>
      <c r="D6" s="10" t="n">
        <v>20</v>
      </c>
      <c r="E6" s="10" t="s">
        <v>2274</v>
      </c>
      <c r="F6" s="10" t="s">
        <v>2275</v>
      </c>
      <c r="G6" s="10" t="s">
        <v>2276</v>
      </c>
      <c r="H6" s="10" t="n">
        <v>3</v>
      </c>
      <c r="I6" s="10" t="s">
        <v>2277</v>
      </c>
      <c r="J6" s="10" t="s">
        <v>2257</v>
      </c>
      <c r="K6" s="10" t="s">
        <v>2258</v>
      </c>
    </row>
    <row r="7" customFormat="false" ht="15" hidden="false" customHeight="false" outlineLevel="0" collapsed="false">
      <c r="A7" s="10" t="s">
        <v>2278</v>
      </c>
      <c r="B7" s="10" t="s">
        <v>2252</v>
      </c>
      <c r="C7" s="10" t="s">
        <v>2278</v>
      </c>
      <c r="D7" s="10" t="n">
        <v>27</v>
      </c>
      <c r="E7" s="10" t="s">
        <v>2279</v>
      </c>
      <c r="F7" s="10" t="s">
        <v>2280</v>
      </c>
      <c r="G7" s="10" t="s">
        <v>2281</v>
      </c>
      <c r="H7" s="10" t="n">
        <v>4</v>
      </c>
      <c r="I7" s="10" t="s">
        <v>2282</v>
      </c>
      <c r="J7" s="10" t="s">
        <v>2257</v>
      </c>
      <c r="K7" s="10" t="s">
        <v>2258</v>
      </c>
    </row>
    <row r="8" customFormat="false" ht="15" hidden="false" customHeight="false" outlineLevel="0" collapsed="false">
      <c r="A8" s="10" t="s">
        <v>2283</v>
      </c>
      <c r="B8" s="10" t="s">
        <v>2252</v>
      </c>
      <c r="C8" s="10" t="s">
        <v>2283</v>
      </c>
      <c r="D8" s="10" t="n">
        <v>19</v>
      </c>
      <c r="E8" s="10" t="s">
        <v>2284</v>
      </c>
      <c r="F8" s="10" t="s">
        <v>2285</v>
      </c>
      <c r="G8" s="10" t="s">
        <v>2286</v>
      </c>
      <c r="H8" s="10" t="n">
        <v>2</v>
      </c>
      <c r="I8" s="10" t="s">
        <v>2287</v>
      </c>
      <c r="J8" s="10" t="s">
        <v>2257</v>
      </c>
      <c r="K8" s="10" t="s">
        <v>2258</v>
      </c>
    </row>
    <row r="9" customFormat="false" ht="15" hidden="false" customHeight="false" outlineLevel="0" collapsed="false">
      <c r="A9" s="10" t="s">
        <v>2288</v>
      </c>
      <c r="B9" s="10" t="s">
        <v>2252</v>
      </c>
      <c r="C9" s="10" t="s">
        <v>2288</v>
      </c>
      <c r="D9" s="10" t="n">
        <v>15</v>
      </c>
      <c r="E9" s="10" t="s">
        <v>2289</v>
      </c>
      <c r="F9" s="10" t="s">
        <v>2290</v>
      </c>
      <c r="G9" s="10" t="s">
        <v>2291</v>
      </c>
      <c r="H9" s="10" t="n">
        <v>2</v>
      </c>
      <c r="I9" s="10" t="s">
        <v>2292</v>
      </c>
      <c r="J9" s="10" t="s">
        <v>2257</v>
      </c>
      <c r="K9" s="10" t="s">
        <v>2258</v>
      </c>
    </row>
    <row r="10" customFormat="false" ht="15" hidden="false" customHeight="false" outlineLevel="0" collapsed="false">
      <c r="A10" s="10" t="s">
        <v>2293</v>
      </c>
      <c r="B10" s="10" t="s">
        <v>2252</v>
      </c>
      <c r="C10" s="10" t="s">
        <v>2293</v>
      </c>
      <c r="D10" s="10" t="n">
        <v>14</v>
      </c>
      <c r="E10" s="10" t="s">
        <v>2294</v>
      </c>
      <c r="F10" s="10" t="s">
        <v>2295</v>
      </c>
      <c r="G10" s="10" t="s">
        <v>2296</v>
      </c>
      <c r="H10" s="10" t="n">
        <v>2</v>
      </c>
      <c r="I10" s="10" t="s">
        <v>2297</v>
      </c>
      <c r="J10" s="10" t="s">
        <v>2257</v>
      </c>
      <c r="K10" s="10" t="s">
        <v>2258</v>
      </c>
    </row>
    <row r="11" customFormat="false" ht="15" hidden="false" customHeight="false" outlineLevel="0" collapsed="false">
      <c r="A11" s="10" t="s">
        <v>2298</v>
      </c>
      <c r="B11" s="10" t="s">
        <v>2252</v>
      </c>
      <c r="C11" s="10" t="s">
        <v>2298</v>
      </c>
      <c r="D11" s="10" t="n">
        <v>14</v>
      </c>
      <c r="E11" s="10" t="s">
        <v>2299</v>
      </c>
      <c r="F11" s="10" t="s">
        <v>2300</v>
      </c>
      <c r="G11" s="10" t="s">
        <v>2301</v>
      </c>
      <c r="H11" s="10" t="n">
        <v>4</v>
      </c>
      <c r="I11" s="10" t="s">
        <v>2302</v>
      </c>
      <c r="J11" s="10" t="s">
        <v>2257</v>
      </c>
      <c r="K11" s="10" t="s">
        <v>2258</v>
      </c>
    </row>
    <row r="12" customFormat="false" ht="15" hidden="false" customHeight="false" outlineLevel="0" collapsed="false">
      <c r="A12" s="10" t="s">
        <v>2303</v>
      </c>
      <c r="B12" s="10" t="s">
        <v>2252</v>
      </c>
      <c r="C12" s="10" t="s">
        <v>2303</v>
      </c>
      <c r="D12" s="10" t="n">
        <v>17</v>
      </c>
      <c r="E12" s="10" t="s">
        <v>2304</v>
      </c>
      <c r="F12" s="10" t="s">
        <v>2305</v>
      </c>
      <c r="G12" s="10" t="s">
        <v>2306</v>
      </c>
      <c r="H12" s="10" t="n">
        <v>1</v>
      </c>
      <c r="I12" s="10" t="s">
        <v>1374</v>
      </c>
      <c r="J12" s="10" t="s">
        <v>2257</v>
      </c>
      <c r="K12" s="10" t="s">
        <v>2258</v>
      </c>
    </row>
    <row r="13" customFormat="false" ht="15" hidden="false" customHeight="false" outlineLevel="0" collapsed="false">
      <c r="A13" s="10" t="s">
        <v>2307</v>
      </c>
      <c r="B13" s="10" t="s">
        <v>2252</v>
      </c>
      <c r="C13" s="10" t="s">
        <v>2303</v>
      </c>
      <c r="D13" s="10" t="n">
        <v>17</v>
      </c>
      <c r="E13" s="10" t="s">
        <v>2308</v>
      </c>
      <c r="F13" s="10" t="s">
        <v>2305</v>
      </c>
      <c r="G13" s="10" t="s">
        <v>2309</v>
      </c>
      <c r="H13" s="10" t="n">
        <v>1</v>
      </c>
      <c r="I13" s="10" t="s">
        <v>1374</v>
      </c>
      <c r="J13" s="10" t="s">
        <v>2257</v>
      </c>
      <c r="K13" s="10" t="s">
        <v>2258</v>
      </c>
    </row>
    <row r="14" customFormat="false" ht="15" hidden="false" customHeight="false" outlineLevel="0" collapsed="false">
      <c r="A14" s="10" t="s">
        <v>2310</v>
      </c>
      <c r="B14" s="10" t="s">
        <v>2252</v>
      </c>
      <c r="C14" s="10" t="s">
        <v>2310</v>
      </c>
      <c r="D14" s="10" t="n">
        <v>16</v>
      </c>
      <c r="E14" s="10" t="s">
        <v>2311</v>
      </c>
      <c r="F14" s="10" t="s">
        <v>2312</v>
      </c>
      <c r="G14" s="10" t="s">
        <v>2313</v>
      </c>
      <c r="H14" s="10" t="n">
        <v>1</v>
      </c>
      <c r="I14" s="10" t="s">
        <v>700</v>
      </c>
      <c r="J14" s="10" t="s">
        <v>2257</v>
      </c>
      <c r="K14" s="10" t="s">
        <v>2258</v>
      </c>
    </row>
    <row r="15" customFormat="false" ht="15" hidden="false" customHeight="false" outlineLevel="0" collapsed="false">
      <c r="A15" s="10" t="s">
        <v>2314</v>
      </c>
      <c r="B15" s="10" t="s">
        <v>2252</v>
      </c>
      <c r="C15" s="10" t="s">
        <v>2314</v>
      </c>
      <c r="D15" s="10" t="n">
        <v>18</v>
      </c>
      <c r="E15" s="10" t="s">
        <v>2315</v>
      </c>
      <c r="F15" s="10" t="s">
        <v>2316</v>
      </c>
      <c r="G15" s="10" t="s">
        <v>2317</v>
      </c>
      <c r="H15" s="10" t="n">
        <v>1</v>
      </c>
      <c r="I15" s="10" t="s">
        <v>1705</v>
      </c>
      <c r="J15" s="10" t="s">
        <v>2257</v>
      </c>
      <c r="K15" s="10" t="s">
        <v>2258</v>
      </c>
    </row>
    <row r="16" customFormat="false" ht="15" hidden="false" customHeight="false" outlineLevel="0" collapsed="false">
      <c r="A16" s="10" t="s">
        <v>2318</v>
      </c>
      <c r="B16" s="10" t="s">
        <v>2252</v>
      </c>
      <c r="C16" s="10" t="s">
        <v>2318</v>
      </c>
      <c r="D16" s="10" t="n">
        <v>20</v>
      </c>
      <c r="E16" s="10" t="s">
        <v>2319</v>
      </c>
      <c r="F16" s="10" t="s">
        <v>2320</v>
      </c>
      <c r="G16" s="10" t="s">
        <v>2321</v>
      </c>
      <c r="H16" s="10" t="n">
        <v>1</v>
      </c>
      <c r="I16" s="10" t="s">
        <v>1554</v>
      </c>
      <c r="J16" s="10" t="s">
        <v>2257</v>
      </c>
      <c r="K16" s="10" t="s">
        <v>2258</v>
      </c>
    </row>
    <row r="17" customFormat="false" ht="15" hidden="false" customHeight="false" outlineLevel="0" collapsed="false">
      <c r="A17" s="10" t="s">
        <v>2322</v>
      </c>
      <c r="B17" s="10" t="s">
        <v>2252</v>
      </c>
      <c r="C17" s="10" t="s">
        <v>2322</v>
      </c>
      <c r="D17" s="10" t="n">
        <v>17</v>
      </c>
      <c r="E17" s="10" t="s">
        <v>2323</v>
      </c>
      <c r="F17" s="10" t="s">
        <v>2324</v>
      </c>
      <c r="G17" s="10" t="s">
        <v>2325</v>
      </c>
      <c r="H17" s="10" t="n">
        <v>1</v>
      </c>
      <c r="I17" s="10" t="s">
        <v>1563</v>
      </c>
      <c r="J17" s="10" t="s">
        <v>2257</v>
      </c>
      <c r="K17" s="10" t="s">
        <v>2258</v>
      </c>
    </row>
    <row r="18" customFormat="false" ht="15" hidden="false" customHeight="false" outlineLevel="0" collapsed="false">
      <c r="A18" s="10" t="s">
        <v>2326</v>
      </c>
      <c r="B18" s="10" t="s">
        <v>2252</v>
      </c>
      <c r="C18" s="10" t="s">
        <v>2326</v>
      </c>
      <c r="D18" s="10" t="n">
        <v>15</v>
      </c>
      <c r="E18" s="10" t="s">
        <v>2327</v>
      </c>
      <c r="F18" s="10" t="s">
        <v>2328</v>
      </c>
      <c r="G18" s="10" t="s">
        <v>2329</v>
      </c>
      <c r="H18" s="10" t="n">
        <v>1</v>
      </c>
      <c r="I18" s="10" t="s">
        <v>1561</v>
      </c>
      <c r="J18" s="10" t="s">
        <v>2257</v>
      </c>
      <c r="K18" s="10" t="s">
        <v>2258</v>
      </c>
    </row>
    <row r="19" customFormat="false" ht="15" hidden="false" customHeight="false" outlineLevel="0" collapsed="false">
      <c r="A19" s="10" t="s">
        <v>2330</v>
      </c>
      <c r="B19" s="10" t="s">
        <v>2252</v>
      </c>
      <c r="C19" s="10" t="s">
        <v>2330</v>
      </c>
      <c r="D19" s="10" t="n">
        <v>17</v>
      </c>
      <c r="E19" s="10" t="s">
        <v>2331</v>
      </c>
      <c r="F19" s="10" t="s">
        <v>2332</v>
      </c>
      <c r="G19" s="10" t="s">
        <v>2333</v>
      </c>
      <c r="H19" s="10" t="n">
        <v>1</v>
      </c>
      <c r="I19" s="10" t="s">
        <v>1574</v>
      </c>
      <c r="J19" s="10" t="s">
        <v>2257</v>
      </c>
      <c r="K19" s="10" t="s">
        <v>2258</v>
      </c>
    </row>
    <row r="20" customFormat="false" ht="15" hidden="false" customHeight="false" outlineLevel="0" collapsed="false">
      <c r="A20" s="10" t="s">
        <v>2334</v>
      </c>
      <c r="B20" s="10" t="s">
        <v>2252</v>
      </c>
      <c r="C20" s="10" t="s">
        <v>2334</v>
      </c>
      <c r="D20" s="10" t="n">
        <v>18</v>
      </c>
      <c r="E20" s="10" t="s">
        <v>2335</v>
      </c>
      <c r="F20" s="10" t="s">
        <v>2336</v>
      </c>
      <c r="G20" s="10" t="s">
        <v>2337</v>
      </c>
      <c r="H20" s="10" t="n">
        <v>1</v>
      </c>
      <c r="I20" s="10" t="s">
        <v>1552</v>
      </c>
      <c r="J20" s="10" t="s">
        <v>2257</v>
      </c>
      <c r="K20" s="10" t="s">
        <v>2258</v>
      </c>
    </row>
    <row r="21" customFormat="false" ht="15" hidden="false" customHeight="false" outlineLevel="0" collapsed="false">
      <c r="A21" s="10" t="s">
        <v>2338</v>
      </c>
      <c r="B21" s="10" t="s">
        <v>2252</v>
      </c>
      <c r="C21" s="10" t="s">
        <v>2338</v>
      </c>
      <c r="D21" s="10" t="n">
        <v>20</v>
      </c>
      <c r="E21" s="10" t="s">
        <v>2339</v>
      </c>
      <c r="F21" s="10" t="s">
        <v>2340</v>
      </c>
      <c r="G21" s="10" t="s">
        <v>2341</v>
      </c>
      <c r="H21" s="10" t="n">
        <v>1</v>
      </c>
      <c r="I21" s="10" t="s">
        <v>1566</v>
      </c>
      <c r="J21" s="10" t="s">
        <v>2257</v>
      </c>
      <c r="K21" s="10" t="s">
        <v>2258</v>
      </c>
    </row>
    <row r="22" customFormat="false" ht="15" hidden="false" customHeight="false" outlineLevel="0" collapsed="false">
      <c r="A22" s="10" t="s">
        <v>2342</v>
      </c>
      <c r="B22" s="10" t="s">
        <v>2252</v>
      </c>
      <c r="C22" s="10" t="s">
        <v>2342</v>
      </c>
      <c r="D22" s="10" t="n">
        <v>26</v>
      </c>
      <c r="E22" s="10" t="s">
        <v>2343</v>
      </c>
      <c r="F22" s="10" t="s">
        <v>2344</v>
      </c>
      <c r="G22" s="10" t="s">
        <v>2345</v>
      </c>
      <c r="H22" s="10" t="n">
        <v>8</v>
      </c>
      <c r="I22" s="10" t="s">
        <v>2346</v>
      </c>
      <c r="J22" s="10" t="s">
        <v>2257</v>
      </c>
      <c r="K22" s="10" t="s">
        <v>2258</v>
      </c>
    </row>
    <row r="23" customFormat="false" ht="15" hidden="false" customHeight="false" outlineLevel="0" collapsed="false">
      <c r="A23" s="10" t="s">
        <v>2347</v>
      </c>
      <c r="B23" s="10" t="s">
        <v>2252</v>
      </c>
      <c r="C23" s="10" t="s">
        <v>2347</v>
      </c>
      <c r="D23" s="10" t="n">
        <v>11</v>
      </c>
      <c r="E23" s="10" t="s">
        <v>2348</v>
      </c>
      <c r="F23" s="10" t="s">
        <v>2349</v>
      </c>
      <c r="G23" s="10" t="s">
        <v>2350</v>
      </c>
      <c r="H23" s="10" t="n">
        <v>1</v>
      </c>
      <c r="I23" s="10" t="s">
        <v>488</v>
      </c>
      <c r="J23" s="10" t="s">
        <v>2257</v>
      </c>
      <c r="K23" s="10" t="s">
        <v>2258</v>
      </c>
    </row>
    <row r="24" customFormat="false" ht="15" hidden="false" customHeight="false" outlineLevel="0" collapsed="false">
      <c r="A24" s="10" t="s">
        <v>2351</v>
      </c>
      <c r="B24" s="10" t="s">
        <v>2252</v>
      </c>
      <c r="C24" s="10" t="s">
        <v>2351</v>
      </c>
      <c r="D24" s="10" t="n">
        <v>10</v>
      </c>
      <c r="E24" s="10" t="s">
        <v>2352</v>
      </c>
      <c r="F24" s="10" t="s">
        <v>2353</v>
      </c>
      <c r="G24" s="10" t="s">
        <v>2354</v>
      </c>
      <c r="H24" s="10" t="n">
        <v>1</v>
      </c>
      <c r="I24" s="10" t="s">
        <v>476</v>
      </c>
      <c r="J24" s="10" t="s">
        <v>2257</v>
      </c>
      <c r="K24" s="10" t="s">
        <v>2258</v>
      </c>
    </row>
    <row r="25" customFormat="false" ht="15" hidden="false" customHeight="false" outlineLevel="0" collapsed="false">
      <c r="A25" s="10" t="s">
        <v>2355</v>
      </c>
      <c r="B25" s="10" t="s">
        <v>2252</v>
      </c>
      <c r="C25" s="10" t="s">
        <v>2355</v>
      </c>
      <c r="D25" s="10" t="n">
        <v>9</v>
      </c>
      <c r="E25" s="10" t="s">
        <v>2356</v>
      </c>
      <c r="F25" s="10" t="s">
        <v>2357</v>
      </c>
      <c r="G25" s="10" t="s">
        <v>2358</v>
      </c>
      <c r="H25" s="10" t="n">
        <v>1</v>
      </c>
      <c r="I25" s="10" t="s">
        <v>467</v>
      </c>
      <c r="J25" s="10" t="s">
        <v>2257</v>
      </c>
      <c r="K25" s="10" t="s">
        <v>2258</v>
      </c>
    </row>
    <row r="26" customFormat="false" ht="15" hidden="false" customHeight="false" outlineLevel="0" collapsed="false">
      <c r="A26" s="10" t="s">
        <v>2359</v>
      </c>
      <c r="B26" s="10" t="s">
        <v>2252</v>
      </c>
      <c r="C26" s="10" t="s">
        <v>2359</v>
      </c>
      <c r="D26" s="10" t="n">
        <v>12</v>
      </c>
      <c r="E26" s="10" t="s">
        <v>2360</v>
      </c>
      <c r="F26" s="10" t="s">
        <v>2361</v>
      </c>
      <c r="G26" s="10" t="s">
        <v>2362</v>
      </c>
      <c r="H26" s="10" t="n">
        <v>1</v>
      </c>
      <c r="I26" s="10" t="s">
        <v>473</v>
      </c>
      <c r="J26" s="10" t="s">
        <v>2257</v>
      </c>
      <c r="K26" s="10" t="s">
        <v>2258</v>
      </c>
    </row>
    <row r="27" customFormat="false" ht="15" hidden="false" customHeight="false" outlineLevel="0" collapsed="false">
      <c r="A27" s="10" t="s">
        <v>2363</v>
      </c>
      <c r="B27" s="10" t="s">
        <v>2252</v>
      </c>
      <c r="C27" s="10" t="s">
        <v>2363</v>
      </c>
      <c r="D27" s="10" t="n">
        <v>10</v>
      </c>
      <c r="E27" s="10" t="s">
        <v>2364</v>
      </c>
      <c r="F27" s="10" t="s">
        <v>2365</v>
      </c>
      <c r="G27" s="10" t="s">
        <v>2366</v>
      </c>
      <c r="H27" s="10" t="n">
        <v>1</v>
      </c>
      <c r="I27" s="10" t="s">
        <v>482</v>
      </c>
      <c r="J27" s="10" t="s">
        <v>2257</v>
      </c>
      <c r="K27" s="10" t="s">
        <v>2258</v>
      </c>
    </row>
    <row r="28" customFormat="false" ht="15" hidden="false" customHeight="false" outlineLevel="0" collapsed="false">
      <c r="A28" s="10" t="s">
        <v>2367</v>
      </c>
      <c r="B28" s="10" t="s">
        <v>2252</v>
      </c>
      <c r="C28" s="10" t="s">
        <v>2363</v>
      </c>
      <c r="D28" s="10" t="n">
        <v>10</v>
      </c>
      <c r="E28" s="10" t="s">
        <v>2364</v>
      </c>
      <c r="F28" s="10" t="s">
        <v>2365</v>
      </c>
      <c r="G28" s="10" t="s">
        <v>2368</v>
      </c>
      <c r="H28" s="10" t="n">
        <v>1</v>
      </c>
      <c r="I28" s="10" t="s">
        <v>482</v>
      </c>
      <c r="J28" s="10" t="s">
        <v>2257</v>
      </c>
      <c r="K28" s="10" t="s">
        <v>2258</v>
      </c>
    </row>
    <row r="29" customFormat="false" ht="15" hidden="false" customHeight="false" outlineLevel="0" collapsed="false">
      <c r="A29" s="10" t="s">
        <v>2369</v>
      </c>
      <c r="B29" s="10" t="s">
        <v>2252</v>
      </c>
      <c r="C29" s="10" t="s">
        <v>2369</v>
      </c>
      <c r="D29" s="10" t="n">
        <v>14</v>
      </c>
      <c r="E29" s="10" t="s">
        <v>2370</v>
      </c>
      <c r="F29" s="10" t="s">
        <v>2371</v>
      </c>
      <c r="G29" s="10" t="s">
        <v>2372</v>
      </c>
      <c r="H29" s="10" t="n">
        <v>1</v>
      </c>
      <c r="I29" s="10" t="s">
        <v>476</v>
      </c>
      <c r="J29" s="10" t="s">
        <v>2257</v>
      </c>
      <c r="K29" s="10" t="s">
        <v>2258</v>
      </c>
    </row>
    <row r="30" customFormat="false" ht="15" hidden="false" customHeight="false" outlineLevel="0" collapsed="false">
      <c r="A30" s="10" t="s">
        <v>2373</v>
      </c>
      <c r="B30" s="10" t="s">
        <v>2252</v>
      </c>
      <c r="C30" s="10" t="s">
        <v>2373</v>
      </c>
      <c r="D30" s="10" t="n">
        <v>23</v>
      </c>
      <c r="E30" s="10" t="s">
        <v>2374</v>
      </c>
      <c r="F30" s="10" t="s">
        <v>2375</v>
      </c>
      <c r="G30" s="10" t="s">
        <v>2376</v>
      </c>
      <c r="H30" s="10" t="n">
        <v>6</v>
      </c>
      <c r="I30" s="10" t="s">
        <v>2377</v>
      </c>
      <c r="J30" s="10" t="s">
        <v>2257</v>
      </c>
      <c r="K30" s="10" t="s">
        <v>2258</v>
      </c>
    </row>
    <row r="31" customFormat="false" ht="15" hidden="false" customHeight="false" outlineLevel="0" collapsed="false">
      <c r="A31" s="10" t="s">
        <v>2378</v>
      </c>
      <c r="B31" s="10" t="s">
        <v>2252</v>
      </c>
      <c r="C31" s="10" t="s">
        <v>2378</v>
      </c>
      <c r="D31" s="10" t="n">
        <v>7</v>
      </c>
      <c r="E31" s="10" t="s">
        <v>2379</v>
      </c>
      <c r="F31" s="10" t="s">
        <v>2380</v>
      </c>
      <c r="G31" s="10" t="s">
        <v>2381</v>
      </c>
      <c r="H31" s="10" t="n">
        <v>1</v>
      </c>
      <c r="I31" s="10" t="s">
        <v>2028</v>
      </c>
      <c r="J31" s="10" t="s">
        <v>2257</v>
      </c>
      <c r="K31" s="10" t="s">
        <v>2258</v>
      </c>
    </row>
    <row r="32" customFormat="false" ht="15" hidden="false" customHeight="false" outlineLevel="0" collapsed="false">
      <c r="A32" s="10" t="s">
        <v>2382</v>
      </c>
      <c r="B32" s="10" t="s">
        <v>2252</v>
      </c>
      <c r="C32" s="10" t="s">
        <v>2382</v>
      </c>
      <c r="D32" s="10" t="n">
        <v>5</v>
      </c>
      <c r="E32" s="10" t="s">
        <v>2383</v>
      </c>
      <c r="F32" s="10" t="s">
        <v>2384</v>
      </c>
      <c r="G32" s="10" t="s">
        <v>2385</v>
      </c>
      <c r="H32" s="10" t="n">
        <v>5</v>
      </c>
      <c r="I32" s="10" t="s">
        <v>2386</v>
      </c>
      <c r="J32" s="10" t="s">
        <v>2257</v>
      </c>
      <c r="K32" s="10" t="s">
        <v>2258</v>
      </c>
    </row>
    <row r="33" customFormat="false" ht="15" hidden="false" customHeight="false" outlineLevel="0" collapsed="false">
      <c r="A33" s="10" t="s">
        <v>2387</v>
      </c>
      <c r="B33" s="10" t="s">
        <v>2252</v>
      </c>
      <c r="C33" s="10" t="s">
        <v>2387</v>
      </c>
      <c r="D33" s="10" t="n">
        <v>10</v>
      </c>
      <c r="E33" s="10" t="s">
        <v>2388</v>
      </c>
      <c r="F33" s="10" t="s">
        <v>2389</v>
      </c>
      <c r="G33" s="10" t="s">
        <v>2390</v>
      </c>
      <c r="H33" s="10" t="n">
        <v>2</v>
      </c>
      <c r="I33" s="10" t="s">
        <v>2391</v>
      </c>
      <c r="J33" s="10" t="s">
        <v>2257</v>
      </c>
      <c r="K33" s="10" t="s">
        <v>2258</v>
      </c>
    </row>
    <row r="34" customFormat="false" ht="15" hidden="false" customHeight="false" outlineLevel="0" collapsed="false">
      <c r="A34" s="10" t="s">
        <v>2392</v>
      </c>
      <c r="B34" s="10" t="s">
        <v>2252</v>
      </c>
      <c r="C34" s="10" t="s">
        <v>2392</v>
      </c>
      <c r="D34" s="10" t="n">
        <v>8</v>
      </c>
      <c r="E34" s="10" t="s">
        <v>2393</v>
      </c>
      <c r="F34" s="10" t="s">
        <v>2394</v>
      </c>
      <c r="G34" s="10" t="s">
        <v>2395</v>
      </c>
      <c r="H34" s="10" t="n">
        <v>1</v>
      </c>
      <c r="I34" s="10" t="s">
        <v>2045</v>
      </c>
      <c r="J34" s="10" t="s">
        <v>2257</v>
      </c>
      <c r="K34" s="10" t="s">
        <v>2258</v>
      </c>
    </row>
    <row r="35" customFormat="false" ht="15" hidden="false" customHeight="false" outlineLevel="0" collapsed="false">
      <c r="A35" s="10" t="s">
        <v>2396</v>
      </c>
      <c r="B35" s="10" t="s">
        <v>2252</v>
      </c>
      <c r="C35" s="10" t="s">
        <v>2396</v>
      </c>
      <c r="D35" s="10" t="n">
        <v>6</v>
      </c>
      <c r="E35" s="10" t="s">
        <v>2397</v>
      </c>
      <c r="F35" s="10" t="s">
        <v>2398</v>
      </c>
      <c r="G35" s="10" t="s">
        <v>2399</v>
      </c>
      <c r="H35" s="10" t="n">
        <v>1</v>
      </c>
      <c r="I35" s="10" t="s">
        <v>2031</v>
      </c>
      <c r="J35" s="10" t="s">
        <v>2257</v>
      </c>
      <c r="K35" s="10" t="s">
        <v>2258</v>
      </c>
    </row>
    <row r="36" customFormat="false" ht="15" hidden="false" customHeight="false" outlineLevel="0" collapsed="false">
      <c r="A36" s="10" t="s">
        <v>2400</v>
      </c>
      <c r="B36" s="10" t="s">
        <v>2252</v>
      </c>
      <c r="C36" s="10" t="s">
        <v>2400</v>
      </c>
      <c r="D36" s="10" t="n">
        <v>16</v>
      </c>
      <c r="E36" s="10" t="s">
        <v>2401</v>
      </c>
      <c r="F36" s="10" t="s">
        <v>2402</v>
      </c>
      <c r="G36" s="10" t="s">
        <v>2403</v>
      </c>
      <c r="H36" s="10" t="n">
        <v>1</v>
      </c>
      <c r="I36" s="10" t="s">
        <v>1496</v>
      </c>
      <c r="J36" s="10" t="s">
        <v>2257</v>
      </c>
      <c r="K36" s="10" t="s">
        <v>2258</v>
      </c>
    </row>
    <row r="37" customFormat="false" ht="15" hidden="false" customHeight="false" outlineLevel="0" collapsed="false">
      <c r="A37" s="10" t="s">
        <v>2404</v>
      </c>
      <c r="B37" s="10" t="s">
        <v>2252</v>
      </c>
      <c r="C37" s="10" t="s">
        <v>2404</v>
      </c>
      <c r="D37" s="10" t="n">
        <v>10</v>
      </c>
      <c r="E37" s="10" t="s">
        <v>2405</v>
      </c>
      <c r="F37" s="10" t="s">
        <v>2406</v>
      </c>
      <c r="G37" s="10" t="s">
        <v>2407</v>
      </c>
      <c r="H37" s="10" t="n">
        <v>1</v>
      </c>
      <c r="I37" s="10" t="s">
        <v>1499</v>
      </c>
      <c r="J37" s="10" t="s">
        <v>2257</v>
      </c>
      <c r="K37" s="10" t="s">
        <v>2258</v>
      </c>
    </row>
    <row r="38" customFormat="false" ht="15" hidden="false" customHeight="false" outlineLevel="0" collapsed="false">
      <c r="A38" s="10" t="s">
        <v>2408</v>
      </c>
      <c r="B38" s="10" t="s">
        <v>2252</v>
      </c>
      <c r="C38" s="10" t="s">
        <v>2408</v>
      </c>
      <c r="D38" s="10" t="n">
        <v>12</v>
      </c>
      <c r="E38" s="10" t="s">
        <v>2409</v>
      </c>
      <c r="F38" s="10" t="s">
        <v>2410</v>
      </c>
      <c r="G38" s="10" t="s">
        <v>2411</v>
      </c>
      <c r="H38" s="10" t="n">
        <v>1</v>
      </c>
      <c r="I38" s="10" t="s">
        <v>1488</v>
      </c>
      <c r="J38" s="10" t="s">
        <v>2257</v>
      </c>
      <c r="K38" s="10" t="s">
        <v>2258</v>
      </c>
    </row>
    <row r="39" customFormat="false" ht="15" hidden="false" customHeight="false" outlineLevel="0" collapsed="false">
      <c r="A39" s="10" t="s">
        <v>2412</v>
      </c>
      <c r="B39" s="10" t="s">
        <v>2413</v>
      </c>
      <c r="C39" s="10" t="s">
        <v>2412</v>
      </c>
      <c r="D39" s="10" t="n">
        <v>24</v>
      </c>
      <c r="E39" s="10" t="s">
        <v>2414</v>
      </c>
      <c r="F39" s="10" t="s">
        <v>2415</v>
      </c>
      <c r="G39" s="10" t="s">
        <v>2416</v>
      </c>
      <c r="H39" s="10" t="n">
        <v>2</v>
      </c>
      <c r="I39" s="10" t="s">
        <v>2417</v>
      </c>
      <c r="J39" s="10" t="s">
        <v>2257</v>
      </c>
      <c r="K39" s="10" t="s">
        <v>2418</v>
      </c>
    </row>
    <row r="40" customFormat="false" ht="15" hidden="false" customHeight="false" outlineLevel="0" collapsed="false">
      <c r="A40" s="10" t="s">
        <v>2419</v>
      </c>
      <c r="B40" s="10" t="s">
        <v>2413</v>
      </c>
      <c r="C40" s="10" t="s">
        <v>2412</v>
      </c>
      <c r="D40" s="10" t="n">
        <v>24</v>
      </c>
      <c r="E40" s="10" t="s">
        <v>2420</v>
      </c>
      <c r="F40" s="10" t="s">
        <v>2421</v>
      </c>
      <c r="G40" s="10" t="s">
        <v>2422</v>
      </c>
      <c r="H40" s="10" t="n">
        <v>2</v>
      </c>
      <c r="I40" s="10" t="s">
        <v>2417</v>
      </c>
      <c r="J40" s="10" t="s">
        <v>2257</v>
      </c>
      <c r="K40" s="10" t="s">
        <v>2418</v>
      </c>
    </row>
    <row r="41" customFormat="false" ht="15" hidden="false" customHeight="false" outlineLevel="0" collapsed="false">
      <c r="A41" s="10" t="s">
        <v>2423</v>
      </c>
      <c r="B41" s="10" t="s">
        <v>2413</v>
      </c>
      <c r="C41" s="10" t="s">
        <v>2424</v>
      </c>
      <c r="D41" s="10" t="n">
        <v>14</v>
      </c>
      <c r="E41" s="10" t="s">
        <v>2425</v>
      </c>
      <c r="F41" s="10" t="s">
        <v>2426</v>
      </c>
      <c r="G41" s="10" t="s">
        <v>2427</v>
      </c>
      <c r="H41" s="10" t="n">
        <v>3</v>
      </c>
      <c r="I41" s="10" t="s">
        <v>2428</v>
      </c>
      <c r="J41" s="10" t="s">
        <v>2257</v>
      </c>
      <c r="K41" s="10" t="s">
        <v>2418</v>
      </c>
    </row>
    <row r="42" customFormat="false" ht="15" hidden="false" customHeight="false" outlineLevel="0" collapsed="false">
      <c r="A42" s="10" t="s">
        <v>2429</v>
      </c>
      <c r="B42" s="10" t="s">
        <v>2413</v>
      </c>
      <c r="C42" s="10" t="s">
        <v>2424</v>
      </c>
      <c r="D42" s="10" t="n">
        <v>13</v>
      </c>
      <c r="E42" s="10" t="s">
        <v>2430</v>
      </c>
      <c r="F42" s="10" t="s">
        <v>2431</v>
      </c>
      <c r="G42" s="10" t="s">
        <v>2432</v>
      </c>
      <c r="H42" s="10" t="n">
        <v>3</v>
      </c>
      <c r="I42" s="10" t="s">
        <v>2428</v>
      </c>
      <c r="J42" s="10" t="s">
        <v>2257</v>
      </c>
      <c r="K42" s="10" t="s">
        <v>2418</v>
      </c>
    </row>
    <row r="43" customFormat="false" ht="15" hidden="false" customHeight="false" outlineLevel="0" collapsed="false">
      <c r="A43" s="10" t="s">
        <v>2433</v>
      </c>
      <c r="B43" s="10" t="s">
        <v>2413</v>
      </c>
      <c r="C43" s="10" t="s">
        <v>2424</v>
      </c>
      <c r="D43" s="10" t="n">
        <v>17</v>
      </c>
      <c r="E43" s="10" t="s">
        <v>2434</v>
      </c>
      <c r="F43" s="10" t="s">
        <v>2435</v>
      </c>
      <c r="G43" s="10" t="s">
        <v>2436</v>
      </c>
      <c r="H43" s="10" t="n">
        <v>3</v>
      </c>
      <c r="I43" s="10" t="s">
        <v>2428</v>
      </c>
      <c r="J43" s="10" t="s">
        <v>2257</v>
      </c>
      <c r="K43" s="10" t="s">
        <v>2418</v>
      </c>
    </row>
    <row r="44" customFormat="false" ht="15" hidden="false" customHeight="false" outlineLevel="0" collapsed="false">
      <c r="A44" s="10" t="s">
        <v>2437</v>
      </c>
      <c r="B44" s="10" t="s">
        <v>2413</v>
      </c>
      <c r="C44" s="10" t="s">
        <v>2424</v>
      </c>
      <c r="D44" s="10" t="n">
        <v>14</v>
      </c>
      <c r="E44" s="10" t="s">
        <v>2438</v>
      </c>
      <c r="F44" s="10" t="s">
        <v>2439</v>
      </c>
      <c r="G44" s="10" t="s">
        <v>2440</v>
      </c>
      <c r="H44" s="10" t="n">
        <v>3</v>
      </c>
      <c r="I44" s="10" t="s">
        <v>2428</v>
      </c>
      <c r="J44" s="10" t="s">
        <v>2257</v>
      </c>
      <c r="K44" s="10" t="s">
        <v>2418</v>
      </c>
    </row>
    <row r="45" customFormat="false" ht="15" hidden="false" customHeight="false" outlineLevel="0" collapsed="false">
      <c r="A45" s="10" t="s">
        <v>2441</v>
      </c>
      <c r="B45" s="10" t="s">
        <v>2413</v>
      </c>
      <c r="C45" s="10" t="s">
        <v>2424</v>
      </c>
      <c r="D45" s="10" t="n">
        <v>13</v>
      </c>
      <c r="E45" s="10" t="s">
        <v>2442</v>
      </c>
      <c r="F45" s="10" t="s">
        <v>2426</v>
      </c>
      <c r="G45" s="10" t="s">
        <v>2443</v>
      </c>
      <c r="H45" s="10" t="n">
        <v>3</v>
      </c>
      <c r="I45" s="10" t="s">
        <v>2428</v>
      </c>
      <c r="J45" s="10" t="s">
        <v>2257</v>
      </c>
      <c r="K45" s="10" t="s">
        <v>2418</v>
      </c>
    </row>
    <row r="46" customFormat="false" ht="15" hidden="false" customHeight="false" outlineLevel="0" collapsed="false">
      <c r="A46" s="10" t="s">
        <v>2444</v>
      </c>
      <c r="B46" s="10" t="s">
        <v>2413</v>
      </c>
      <c r="C46" s="10" t="s">
        <v>2444</v>
      </c>
      <c r="D46" s="10" t="n">
        <v>38</v>
      </c>
      <c r="E46" s="10" t="s">
        <v>2445</v>
      </c>
      <c r="F46" s="10" t="s">
        <v>2446</v>
      </c>
      <c r="G46" s="10" t="s">
        <v>2447</v>
      </c>
      <c r="H46" s="10" t="n">
        <v>7</v>
      </c>
      <c r="I46" s="10" t="s">
        <v>2448</v>
      </c>
      <c r="J46" s="10" t="s">
        <v>2257</v>
      </c>
      <c r="K46" s="10" t="s">
        <v>2418</v>
      </c>
    </row>
    <row r="47" customFormat="false" ht="15" hidden="false" customHeight="false" outlineLevel="0" collapsed="false">
      <c r="A47" s="10" t="s">
        <v>2449</v>
      </c>
      <c r="B47" s="10" t="s">
        <v>2413</v>
      </c>
      <c r="C47" s="10" t="s">
        <v>2449</v>
      </c>
      <c r="D47" s="10" t="n">
        <v>21</v>
      </c>
      <c r="E47" s="10" t="s">
        <v>2450</v>
      </c>
      <c r="F47" s="10" t="s">
        <v>2451</v>
      </c>
      <c r="G47" s="10" t="s">
        <v>2452</v>
      </c>
      <c r="H47" s="10" t="n">
        <v>3</v>
      </c>
      <c r="I47" s="10" t="s">
        <v>2453</v>
      </c>
      <c r="J47" s="10" t="s">
        <v>2257</v>
      </c>
      <c r="K47" s="10" t="s">
        <v>2418</v>
      </c>
    </row>
    <row r="48" customFormat="false" ht="15" hidden="false" customHeight="false" outlineLevel="0" collapsed="false">
      <c r="A48" s="10" t="s">
        <v>2454</v>
      </c>
      <c r="B48" s="10" t="s">
        <v>2413</v>
      </c>
      <c r="C48" s="10" t="s">
        <v>2454</v>
      </c>
      <c r="D48" s="10" t="n">
        <v>17</v>
      </c>
      <c r="E48" s="10" t="s">
        <v>2455</v>
      </c>
      <c r="F48" s="10" t="s">
        <v>2456</v>
      </c>
      <c r="G48" s="10" t="s">
        <v>2457</v>
      </c>
      <c r="H48" s="10" t="n">
        <v>11</v>
      </c>
      <c r="I48" s="10" t="s">
        <v>2458</v>
      </c>
      <c r="J48" s="10" t="s">
        <v>2257</v>
      </c>
      <c r="K48" s="10" t="s">
        <v>2418</v>
      </c>
    </row>
    <row r="49" customFormat="false" ht="15" hidden="false" customHeight="false" outlineLevel="0" collapsed="false">
      <c r="A49" s="10" t="s">
        <v>2459</v>
      </c>
      <c r="B49" s="10" t="s">
        <v>2413</v>
      </c>
      <c r="C49" s="10" t="s">
        <v>2459</v>
      </c>
      <c r="D49" s="10" t="n">
        <v>17</v>
      </c>
      <c r="E49" s="10" t="s">
        <v>2460</v>
      </c>
      <c r="F49" s="10" t="s">
        <v>2461</v>
      </c>
      <c r="G49" s="10" t="s">
        <v>2462</v>
      </c>
      <c r="H49" s="10" t="n">
        <v>10</v>
      </c>
      <c r="I49" s="10" t="s">
        <v>2463</v>
      </c>
      <c r="J49" s="10" t="s">
        <v>2257</v>
      </c>
      <c r="K49" s="10" t="s">
        <v>2418</v>
      </c>
    </row>
    <row r="50" customFormat="false" ht="15" hidden="false" customHeight="false" outlineLevel="0" collapsed="false">
      <c r="A50" s="10" t="s">
        <v>2464</v>
      </c>
      <c r="B50" s="10" t="s">
        <v>2413</v>
      </c>
      <c r="C50" s="10" t="s">
        <v>2464</v>
      </c>
      <c r="D50" s="10" t="n">
        <v>18</v>
      </c>
      <c r="E50" s="10" t="s">
        <v>2465</v>
      </c>
      <c r="F50" s="10" t="s">
        <v>2466</v>
      </c>
      <c r="G50" s="10" t="s">
        <v>2467</v>
      </c>
      <c r="H50" s="10" t="n">
        <v>5</v>
      </c>
      <c r="I50" s="10" t="s">
        <v>2468</v>
      </c>
      <c r="J50" s="10" t="s">
        <v>2257</v>
      </c>
      <c r="K50" s="10" t="s">
        <v>2418</v>
      </c>
    </row>
    <row r="51" customFormat="false" ht="15" hidden="false" customHeight="false" outlineLevel="0" collapsed="false">
      <c r="A51" s="10" t="s">
        <v>2469</v>
      </c>
      <c r="B51" s="10" t="s">
        <v>2413</v>
      </c>
      <c r="C51" s="10" t="s">
        <v>2469</v>
      </c>
      <c r="D51" s="10" t="n">
        <v>18</v>
      </c>
      <c r="E51" s="10" t="s">
        <v>2470</v>
      </c>
      <c r="F51" s="10" t="s">
        <v>2471</v>
      </c>
      <c r="G51" s="10" t="s">
        <v>2472</v>
      </c>
      <c r="H51" s="10" t="n">
        <v>3</v>
      </c>
      <c r="I51" s="10" t="s">
        <v>2473</v>
      </c>
      <c r="J51" s="10" t="s">
        <v>2257</v>
      </c>
      <c r="K51" s="10" t="s">
        <v>2418</v>
      </c>
    </row>
    <row r="52" customFormat="false" ht="15" hidden="false" customHeight="false" outlineLevel="0" collapsed="false">
      <c r="A52" s="10" t="s">
        <v>2474</v>
      </c>
      <c r="B52" s="10" t="s">
        <v>2413</v>
      </c>
      <c r="C52" s="10" t="s">
        <v>2474</v>
      </c>
      <c r="D52" s="10" t="n">
        <v>25</v>
      </c>
      <c r="E52" s="10" t="s">
        <v>2475</v>
      </c>
      <c r="F52" s="10" t="s">
        <v>2476</v>
      </c>
      <c r="G52" s="10" t="s">
        <v>2477</v>
      </c>
      <c r="H52" s="10" t="n">
        <v>2</v>
      </c>
      <c r="I52" s="10" t="s">
        <v>2478</v>
      </c>
      <c r="J52" s="10" t="s">
        <v>2257</v>
      </c>
      <c r="K52" s="10" t="s">
        <v>2418</v>
      </c>
    </row>
    <row r="53" customFormat="false" ht="15" hidden="false" customHeight="false" outlineLevel="0" collapsed="false">
      <c r="A53" s="10" t="s">
        <v>2479</v>
      </c>
      <c r="B53" s="10" t="s">
        <v>2413</v>
      </c>
      <c r="C53" s="10" t="s">
        <v>2479</v>
      </c>
      <c r="D53" s="10" t="n">
        <v>28</v>
      </c>
      <c r="E53" s="10" t="s">
        <v>2480</v>
      </c>
      <c r="F53" s="10" t="s">
        <v>2481</v>
      </c>
      <c r="G53" s="10" t="s">
        <v>2482</v>
      </c>
      <c r="H53" s="10" t="n">
        <v>0</v>
      </c>
      <c r="I53" s="10"/>
      <c r="J53" s="10" t="s">
        <v>2257</v>
      </c>
      <c r="K53" s="10" t="s">
        <v>2418</v>
      </c>
    </row>
    <row r="54" customFormat="false" ht="15" hidden="false" customHeight="false" outlineLevel="0" collapsed="false">
      <c r="A54" s="10" t="s">
        <v>2483</v>
      </c>
      <c r="B54" s="10" t="s">
        <v>2413</v>
      </c>
      <c r="C54" s="10" t="s">
        <v>2483</v>
      </c>
      <c r="D54" s="10" t="n">
        <v>32</v>
      </c>
      <c r="E54" s="10" t="s">
        <v>2484</v>
      </c>
      <c r="F54" s="10" t="s">
        <v>2485</v>
      </c>
      <c r="G54" s="10" t="s">
        <v>2486</v>
      </c>
      <c r="H54" s="10" t="n">
        <v>0</v>
      </c>
      <c r="I54" s="10"/>
      <c r="J54" s="10" t="s">
        <v>2257</v>
      </c>
      <c r="K54" s="10" t="s">
        <v>2418</v>
      </c>
    </row>
    <row r="55" customFormat="false" ht="15" hidden="false" customHeight="false" outlineLevel="0" collapsed="false">
      <c r="A55" s="10" t="s">
        <v>2487</v>
      </c>
      <c r="B55" s="10" t="s">
        <v>2413</v>
      </c>
      <c r="C55" s="10" t="s">
        <v>2487</v>
      </c>
      <c r="D55" s="10" t="n">
        <v>16</v>
      </c>
      <c r="E55" s="10" t="s">
        <v>2488</v>
      </c>
      <c r="F55" s="10" t="s">
        <v>2489</v>
      </c>
      <c r="G55" s="10" t="s">
        <v>2490</v>
      </c>
      <c r="H55" s="10" t="n">
        <v>2</v>
      </c>
      <c r="I55" s="10" t="s">
        <v>2491</v>
      </c>
      <c r="J55" s="10" t="s">
        <v>2257</v>
      </c>
      <c r="K55" s="10" t="s">
        <v>2418</v>
      </c>
    </row>
    <row r="56" customFormat="false" ht="15" hidden="false" customHeight="false" outlineLevel="0" collapsed="false">
      <c r="A56" s="10" t="s">
        <v>2492</v>
      </c>
      <c r="B56" s="10" t="s">
        <v>2413</v>
      </c>
      <c r="C56" s="10" t="s">
        <v>2492</v>
      </c>
      <c r="D56" s="10" t="n">
        <v>33</v>
      </c>
      <c r="E56" s="10" t="s">
        <v>2493</v>
      </c>
      <c r="F56" s="10" t="s">
        <v>2494</v>
      </c>
      <c r="G56" s="10" t="s">
        <v>2495</v>
      </c>
      <c r="H56" s="10" t="n">
        <v>1</v>
      </c>
      <c r="I56" s="10" t="s">
        <v>1013</v>
      </c>
      <c r="J56" s="10" t="s">
        <v>2257</v>
      </c>
      <c r="K56" s="10" t="s">
        <v>2418</v>
      </c>
    </row>
    <row r="57" customFormat="false" ht="15" hidden="false" customHeight="false" outlineLevel="0" collapsed="false">
      <c r="A57" s="10" t="s">
        <v>2496</v>
      </c>
      <c r="B57" s="10" t="s">
        <v>2413</v>
      </c>
      <c r="C57" s="10" t="s">
        <v>2496</v>
      </c>
      <c r="D57" s="10" t="n">
        <v>21</v>
      </c>
      <c r="E57" s="10" t="s">
        <v>2497</v>
      </c>
      <c r="F57" s="10" t="s">
        <v>2498</v>
      </c>
      <c r="G57" s="10" t="s">
        <v>2499</v>
      </c>
      <c r="H57" s="10" t="n">
        <v>9</v>
      </c>
      <c r="I57" s="10" t="s">
        <v>2500</v>
      </c>
      <c r="J57" s="10" t="s">
        <v>2257</v>
      </c>
      <c r="K57" s="10" t="s">
        <v>2418</v>
      </c>
    </row>
    <row r="58" customFormat="false" ht="15" hidden="false" customHeight="false" outlineLevel="0" collapsed="false">
      <c r="A58" s="10" t="s">
        <v>2501</v>
      </c>
      <c r="B58" s="10" t="s">
        <v>2413</v>
      </c>
      <c r="C58" s="10" t="s">
        <v>2501</v>
      </c>
      <c r="D58" s="10" t="n">
        <v>19</v>
      </c>
      <c r="E58" s="10" t="s">
        <v>2502</v>
      </c>
      <c r="F58" s="10" t="s">
        <v>2503</v>
      </c>
      <c r="G58" s="10" t="s">
        <v>2504</v>
      </c>
      <c r="H58" s="10" t="n">
        <v>4</v>
      </c>
      <c r="I58" s="10" t="s">
        <v>2505</v>
      </c>
      <c r="J58" s="10" t="s">
        <v>2257</v>
      </c>
      <c r="K58" s="10" t="s">
        <v>2418</v>
      </c>
    </row>
    <row r="59" customFormat="false" ht="15" hidden="false" customHeight="false" outlineLevel="0" collapsed="false">
      <c r="A59" s="10" t="s">
        <v>2506</v>
      </c>
      <c r="B59" s="10" t="s">
        <v>2507</v>
      </c>
      <c r="C59" s="10" t="s">
        <v>2506</v>
      </c>
      <c r="D59" s="10" t="n">
        <v>16</v>
      </c>
      <c r="E59" s="10" t="s">
        <v>2508</v>
      </c>
      <c r="F59" s="10" t="s">
        <v>2509</v>
      </c>
      <c r="G59" s="10" t="s">
        <v>2510</v>
      </c>
      <c r="H59" s="10" t="n">
        <v>16</v>
      </c>
      <c r="I59" s="10" t="s">
        <v>2511</v>
      </c>
      <c r="J59" s="10" t="s">
        <v>2257</v>
      </c>
      <c r="K59" s="10" t="s">
        <v>2418</v>
      </c>
    </row>
    <row r="60" customFormat="false" ht="15" hidden="false" customHeight="false" outlineLevel="0" collapsed="false">
      <c r="A60" s="10" t="s">
        <v>2512</v>
      </c>
      <c r="B60" s="10" t="s">
        <v>2507</v>
      </c>
      <c r="C60" s="10" t="s">
        <v>2512</v>
      </c>
      <c r="D60" s="10" t="n">
        <v>35</v>
      </c>
      <c r="E60" s="10" t="s">
        <v>2513</v>
      </c>
      <c r="F60" s="10" t="s">
        <v>2514</v>
      </c>
      <c r="G60" s="10" t="s">
        <v>2515</v>
      </c>
      <c r="H60" s="10" t="n">
        <v>6</v>
      </c>
      <c r="I60" s="10" t="s">
        <v>2516</v>
      </c>
      <c r="J60" s="10" t="s">
        <v>2257</v>
      </c>
      <c r="K60" s="10" t="s">
        <v>2418</v>
      </c>
    </row>
    <row r="61" customFormat="false" ht="15" hidden="false" customHeight="false" outlineLevel="0" collapsed="false">
      <c r="A61" s="10" t="s">
        <v>2517</v>
      </c>
      <c r="B61" s="10" t="s">
        <v>2507</v>
      </c>
      <c r="C61" s="10" t="s">
        <v>2517</v>
      </c>
      <c r="D61" s="10" t="n">
        <v>15</v>
      </c>
      <c r="E61" s="10" t="s">
        <v>2518</v>
      </c>
      <c r="F61" s="10" t="s">
        <v>2519</v>
      </c>
      <c r="G61" s="10" t="s">
        <v>2520</v>
      </c>
      <c r="H61" s="10" t="n">
        <v>1</v>
      </c>
      <c r="I61" s="10" t="s">
        <v>2205</v>
      </c>
      <c r="J61" s="10" t="s">
        <v>2257</v>
      </c>
      <c r="K61" s="10" t="s">
        <v>2418</v>
      </c>
    </row>
    <row r="62" customFormat="false" ht="15" hidden="false" customHeight="false" outlineLevel="0" collapsed="false">
      <c r="A62" s="10" t="s">
        <v>2521</v>
      </c>
      <c r="B62" s="10" t="s">
        <v>2507</v>
      </c>
      <c r="C62" s="10" t="s">
        <v>2521</v>
      </c>
      <c r="D62" s="10" t="n">
        <v>17</v>
      </c>
      <c r="E62" s="10" t="s">
        <v>2522</v>
      </c>
      <c r="F62" s="10" t="s">
        <v>2523</v>
      </c>
      <c r="G62" s="10" t="s">
        <v>2524</v>
      </c>
      <c r="H62" s="10" t="n">
        <v>13</v>
      </c>
      <c r="I62" s="10" t="s">
        <v>2525</v>
      </c>
      <c r="J62" s="10" t="s">
        <v>2257</v>
      </c>
      <c r="K62" s="10" t="s">
        <v>2418</v>
      </c>
    </row>
    <row r="63" customFormat="false" ht="15" hidden="false" customHeight="false" outlineLevel="0" collapsed="false">
      <c r="A63" s="10" t="s">
        <v>2526</v>
      </c>
      <c r="B63" s="10" t="s">
        <v>2507</v>
      </c>
      <c r="C63" s="10" t="s">
        <v>2526</v>
      </c>
      <c r="D63" s="10" t="n">
        <v>13</v>
      </c>
      <c r="E63" s="10" t="s">
        <v>2527</v>
      </c>
      <c r="F63" s="10" t="s">
        <v>2528</v>
      </c>
      <c r="G63" s="10" t="s">
        <v>2529</v>
      </c>
      <c r="H63" s="10" t="n">
        <v>2</v>
      </c>
      <c r="I63" s="10" t="s">
        <v>2530</v>
      </c>
      <c r="J63" s="10" t="s">
        <v>2257</v>
      </c>
      <c r="K63" s="10" t="s">
        <v>2418</v>
      </c>
    </row>
    <row r="64" customFormat="false" ht="15" hidden="false" customHeight="false" outlineLevel="0" collapsed="false">
      <c r="A64" s="10" t="s">
        <v>2531</v>
      </c>
      <c r="B64" s="10" t="s">
        <v>2507</v>
      </c>
      <c r="C64" s="10" t="s">
        <v>2526</v>
      </c>
      <c r="D64" s="10" t="n">
        <v>16</v>
      </c>
      <c r="E64" s="10" t="s">
        <v>2532</v>
      </c>
      <c r="F64" s="10" t="s">
        <v>2533</v>
      </c>
      <c r="G64" s="10" t="s">
        <v>2534</v>
      </c>
      <c r="H64" s="10" t="n">
        <v>2</v>
      </c>
      <c r="I64" s="10" t="s">
        <v>2530</v>
      </c>
      <c r="J64" s="10" t="s">
        <v>2257</v>
      </c>
      <c r="K64" s="10" t="s">
        <v>2418</v>
      </c>
    </row>
    <row r="65" customFormat="false" ht="15" hidden="false" customHeight="false" outlineLevel="0" collapsed="false">
      <c r="A65" s="10" t="s">
        <v>2535</v>
      </c>
      <c r="B65" s="10" t="s">
        <v>2507</v>
      </c>
      <c r="C65" s="10" t="s">
        <v>2535</v>
      </c>
      <c r="D65" s="10" t="n">
        <v>30</v>
      </c>
      <c r="E65" s="10" t="s">
        <v>2536</v>
      </c>
      <c r="F65" s="10" t="s">
        <v>2537</v>
      </c>
      <c r="G65" s="10" t="s">
        <v>2538</v>
      </c>
      <c r="H65" s="10" t="n">
        <v>2</v>
      </c>
      <c r="I65" s="10" t="s">
        <v>2539</v>
      </c>
      <c r="J65" s="10" t="s">
        <v>2257</v>
      </c>
      <c r="K65" s="10" t="s">
        <v>2418</v>
      </c>
    </row>
    <row r="66" customFormat="false" ht="15" hidden="false" customHeight="false" outlineLevel="0" collapsed="false">
      <c r="A66" s="10" t="s">
        <v>2540</v>
      </c>
      <c r="B66" s="10" t="s">
        <v>2507</v>
      </c>
      <c r="C66" s="10" t="s">
        <v>2540</v>
      </c>
      <c r="D66" s="10" t="n">
        <v>20</v>
      </c>
      <c r="E66" s="10" t="s">
        <v>2541</v>
      </c>
      <c r="F66" s="10" t="s">
        <v>2542</v>
      </c>
      <c r="G66" s="10" t="s">
        <v>2543</v>
      </c>
      <c r="H66" s="10" t="n">
        <v>1</v>
      </c>
      <c r="I66" s="10" t="s">
        <v>598</v>
      </c>
      <c r="J66" s="10" t="s">
        <v>2257</v>
      </c>
      <c r="K66" s="10" t="s">
        <v>2418</v>
      </c>
    </row>
    <row r="67" customFormat="false" ht="15" hidden="false" customHeight="false" outlineLevel="0" collapsed="false">
      <c r="A67" s="10" t="s">
        <v>2544</v>
      </c>
      <c r="B67" s="10" t="s">
        <v>2507</v>
      </c>
      <c r="C67" s="10" t="s">
        <v>2544</v>
      </c>
      <c r="D67" s="10" t="n">
        <v>12</v>
      </c>
      <c r="E67" s="10" t="s">
        <v>2545</v>
      </c>
      <c r="F67" s="10" t="s">
        <v>2546</v>
      </c>
      <c r="G67" s="10" t="s">
        <v>2547</v>
      </c>
      <c r="H67" s="10" t="n">
        <v>1</v>
      </c>
      <c r="I67" s="10" t="s">
        <v>674</v>
      </c>
      <c r="J67" s="10" t="s">
        <v>2257</v>
      </c>
      <c r="K67" s="10" t="s">
        <v>2418</v>
      </c>
    </row>
    <row r="68" customFormat="false" ht="15" hidden="false" customHeight="false" outlineLevel="0" collapsed="false">
      <c r="A68" s="10" t="s">
        <v>2548</v>
      </c>
      <c r="B68" s="10" t="s">
        <v>2507</v>
      </c>
      <c r="C68" s="10" t="s">
        <v>2548</v>
      </c>
      <c r="D68" s="10" t="n">
        <v>12</v>
      </c>
      <c r="E68" s="10" t="s">
        <v>2549</v>
      </c>
      <c r="F68" s="10" t="s">
        <v>2550</v>
      </c>
      <c r="G68" s="10" t="s">
        <v>2551</v>
      </c>
      <c r="H68" s="10" t="n">
        <v>1</v>
      </c>
      <c r="I68" s="10" t="s">
        <v>604</v>
      </c>
      <c r="J68" s="10" t="s">
        <v>2257</v>
      </c>
      <c r="K68" s="10" t="s">
        <v>2418</v>
      </c>
    </row>
    <row r="69" customFormat="false" ht="15" hidden="false" customHeight="false" outlineLevel="0" collapsed="false">
      <c r="A69" s="10" t="s">
        <v>2552</v>
      </c>
      <c r="B69" s="10" t="s">
        <v>2507</v>
      </c>
      <c r="C69" s="10" t="s">
        <v>2552</v>
      </c>
      <c r="D69" s="10" t="n">
        <v>20</v>
      </c>
      <c r="E69" s="10" t="s">
        <v>2553</v>
      </c>
      <c r="F69" s="10" t="s">
        <v>2554</v>
      </c>
      <c r="G69" s="10" t="s">
        <v>2555</v>
      </c>
      <c r="H69" s="10" t="n">
        <v>4</v>
      </c>
      <c r="I69" s="10" t="s">
        <v>2556</v>
      </c>
      <c r="J69" s="10" t="s">
        <v>2257</v>
      </c>
      <c r="K69" s="10" t="s">
        <v>2418</v>
      </c>
    </row>
    <row r="70" customFormat="false" ht="15" hidden="false" customHeight="false" outlineLevel="0" collapsed="false">
      <c r="A70" s="10" t="s">
        <v>2557</v>
      </c>
      <c r="B70" s="10" t="s">
        <v>2507</v>
      </c>
      <c r="C70" s="10" t="s">
        <v>2557</v>
      </c>
      <c r="D70" s="10" t="n">
        <v>9</v>
      </c>
      <c r="E70" s="10" t="s">
        <v>2558</v>
      </c>
      <c r="F70" s="10" t="s">
        <v>2559</v>
      </c>
      <c r="G70" s="10" t="s">
        <v>2560</v>
      </c>
      <c r="H70" s="10" t="n">
        <v>1</v>
      </c>
      <c r="I70" s="10" t="s">
        <v>777</v>
      </c>
      <c r="J70" s="10" t="s">
        <v>2257</v>
      </c>
      <c r="K70" s="10" t="s">
        <v>2418</v>
      </c>
    </row>
    <row r="71" customFormat="false" ht="15" hidden="false" customHeight="false" outlineLevel="0" collapsed="false">
      <c r="A71" s="10" t="s">
        <v>2561</v>
      </c>
      <c r="B71" s="10" t="s">
        <v>2562</v>
      </c>
      <c r="C71" s="10" t="s">
        <v>2561</v>
      </c>
      <c r="D71" s="10" t="n">
        <v>1</v>
      </c>
      <c r="E71" s="10" t="s">
        <v>2563</v>
      </c>
      <c r="F71" s="10"/>
      <c r="G71" s="10" t="s">
        <v>2564</v>
      </c>
      <c r="H71" s="10" t="n">
        <v>0</v>
      </c>
      <c r="I71" s="10"/>
      <c r="J71" s="10" t="s">
        <v>2565</v>
      </c>
      <c r="K71" s="10" t="s">
        <v>2566</v>
      </c>
    </row>
    <row r="72" customFormat="false" ht="15" hidden="false" customHeight="false" outlineLevel="0" collapsed="false">
      <c r="A72" s="10" t="s">
        <v>2567</v>
      </c>
      <c r="B72" s="10" t="s">
        <v>2562</v>
      </c>
      <c r="C72" s="10" t="s">
        <v>2567</v>
      </c>
      <c r="D72" s="10" t="n">
        <v>2</v>
      </c>
      <c r="E72" s="10" t="s">
        <v>2568</v>
      </c>
      <c r="F72" s="10"/>
      <c r="G72" s="10" t="s">
        <v>2569</v>
      </c>
      <c r="H72" s="10" t="n">
        <v>1</v>
      </c>
      <c r="I72" s="10" t="s">
        <v>1416</v>
      </c>
      <c r="J72" s="10" t="s">
        <v>2565</v>
      </c>
      <c r="K72" s="10" t="s">
        <v>2566</v>
      </c>
    </row>
    <row r="73" customFormat="false" ht="15" hidden="false" customHeight="false" outlineLevel="0" collapsed="false">
      <c r="A73" s="10" t="s">
        <v>2570</v>
      </c>
      <c r="B73" s="10" t="s">
        <v>2562</v>
      </c>
      <c r="C73" s="10" t="s">
        <v>2570</v>
      </c>
      <c r="D73" s="10" t="n">
        <v>9</v>
      </c>
      <c r="E73" s="10" t="s">
        <v>2571</v>
      </c>
      <c r="F73" s="10"/>
      <c r="G73" s="10" t="s">
        <v>2572</v>
      </c>
      <c r="H73" s="10" t="n">
        <v>1</v>
      </c>
      <c r="I73" s="10" t="s">
        <v>1416</v>
      </c>
      <c r="J73" s="10" t="s">
        <v>2565</v>
      </c>
      <c r="K73" s="10" t="s">
        <v>2566</v>
      </c>
    </row>
    <row r="74" customFormat="false" ht="15" hidden="false" customHeight="false" outlineLevel="0" collapsed="false">
      <c r="A74" s="10" t="s">
        <v>2573</v>
      </c>
      <c r="B74" s="10" t="s">
        <v>2562</v>
      </c>
      <c r="C74" s="10" t="s">
        <v>2573</v>
      </c>
      <c r="D74" s="10" t="n">
        <v>10</v>
      </c>
      <c r="E74" s="10" t="s">
        <v>2574</v>
      </c>
      <c r="F74" s="10" t="s">
        <v>2575</v>
      </c>
      <c r="G74" s="10" t="s">
        <v>2576</v>
      </c>
      <c r="H74" s="10" t="n">
        <v>0</v>
      </c>
      <c r="I74" s="10"/>
      <c r="J74" s="10" t="s">
        <v>2565</v>
      </c>
      <c r="K74" s="10" t="s">
        <v>2566</v>
      </c>
    </row>
    <row r="75" customFormat="false" ht="15" hidden="false" customHeight="false" outlineLevel="0" collapsed="false">
      <c r="A75" s="10" t="s">
        <v>2577</v>
      </c>
      <c r="B75" s="10" t="s">
        <v>2562</v>
      </c>
      <c r="C75" s="10" t="s">
        <v>2577</v>
      </c>
      <c r="D75" s="10" t="n">
        <v>4</v>
      </c>
      <c r="E75" s="10" t="s">
        <v>2578</v>
      </c>
      <c r="F75" s="10" t="s">
        <v>2579</v>
      </c>
      <c r="G75" s="10" t="s">
        <v>2580</v>
      </c>
      <c r="H75" s="10" t="n">
        <v>0</v>
      </c>
      <c r="I75" s="10"/>
      <c r="J75" s="10" t="s">
        <v>2565</v>
      </c>
      <c r="K75" s="10" t="s">
        <v>2566</v>
      </c>
    </row>
    <row r="76" customFormat="false" ht="15" hidden="false" customHeight="false" outlineLevel="0" collapsed="false">
      <c r="A76" s="10" t="s">
        <v>2581</v>
      </c>
      <c r="B76" s="10" t="s">
        <v>2562</v>
      </c>
      <c r="C76" s="10" t="s">
        <v>2581</v>
      </c>
      <c r="D76" s="10" t="n">
        <v>6</v>
      </c>
      <c r="E76" s="10" t="s">
        <v>2582</v>
      </c>
      <c r="F76" s="10" t="s">
        <v>2579</v>
      </c>
      <c r="G76" s="10" t="s">
        <v>2583</v>
      </c>
      <c r="H76" s="10" t="n">
        <v>2</v>
      </c>
      <c r="I76" s="10" t="s">
        <v>2584</v>
      </c>
      <c r="J76" s="10" t="s">
        <v>2565</v>
      </c>
      <c r="K76" s="10" t="s">
        <v>2566</v>
      </c>
    </row>
    <row r="77" customFormat="false" ht="15" hidden="false" customHeight="false" outlineLevel="0" collapsed="false">
      <c r="A77" s="10" t="s">
        <v>2585</v>
      </c>
      <c r="B77" s="10" t="s">
        <v>2562</v>
      </c>
      <c r="C77" s="10" t="s">
        <v>2585</v>
      </c>
      <c r="D77" s="10" t="n">
        <v>4</v>
      </c>
      <c r="E77" s="10" t="s">
        <v>2586</v>
      </c>
      <c r="F77" s="10" t="s">
        <v>2587</v>
      </c>
      <c r="G77" s="10" t="s">
        <v>2588</v>
      </c>
      <c r="H77" s="10" t="n">
        <v>4</v>
      </c>
      <c r="I77" s="10" t="s">
        <v>2589</v>
      </c>
      <c r="J77" s="10" t="s">
        <v>2565</v>
      </c>
      <c r="K77" s="10" t="s">
        <v>2566</v>
      </c>
    </row>
    <row r="78" customFormat="false" ht="15" hidden="false" customHeight="false" outlineLevel="0" collapsed="false">
      <c r="A78" s="10" t="s">
        <v>2590</v>
      </c>
      <c r="B78" s="10" t="s">
        <v>2562</v>
      </c>
      <c r="C78" s="10" t="s">
        <v>2590</v>
      </c>
      <c r="D78" s="10" t="n">
        <v>14</v>
      </c>
      <c r="E78" s="10" t="s">
        <v>2591</v>
      </c>
      <c r="F78" s="10"/>
      <c r="G78" s="10" t="s">
        <v>2592</v>
      </c>
      <c r="H78" s="10" t="n">
        <v>1</v>
      </c>
      <c r="I78" s="10" t="s">
        <v>479</v>
      </c>
      <c r="J78" s="10" t="s">
        <v>2565</v>
      </c>
      <c r="K78" s="10" t="s">
        <v>2566</v>
      </c>
    </row>
    <row r="79" customFormat="false" ht="15" hidden="false" customHeight="false" outlineLevel="0" collapsed="false">
      <c r="A79" s="10" t="s">
        <v>2593</v>
      </c>
      <c r="B79" s="10" t="s">
        <v>2562</v>
      </c>
      <c r="C79" s="10" t="s">
        <v>2593</v>
      </c>
      <c r="D79" s="10" t="n">
        <v>4</v>
      </c>
      <c r="E79" s="10" t="s">
        <v>2594</v>
      </c>
      <c r="F79" s="10"/>
      <c r="G79" s="10" t="s">
        <v>2595</v>
      </c>
      <c r="H79" s="10" t="n">
        <v>12</v>
      </c>
      <c r="I79" s="10" t="s">
        <v>2596</v>
      </c>
      <c r="J79" s="10" t="s">
        <v>2565</v>
      </c>
      <c r="K79" s="10" t="s">
        <v>2566</v>
      </c>
    </row>
    <row r="80" customFormat="false" ht="15" hidden="false" customHeight="false" outlineLevel="0" collapsed="false">
      <c r="A80" s="10" t="s">
        <v>2597</v>
      </c>
      <c r="B80" s="10" t="s">
        <v>2562</v>
      </c>
      <c r="C80" s="10" t="s">
        <v>2597</v>
      </c>
      <c r="D80" s="10" t="n">
        <v>3</v>
      </c>
      <c r="E80" s="10" t="s">
        <v>2598</v>
      </c>
      <c r="F80" s="10"/>
      <c r="G80" s="10" t="s">
        <v>2599</v>
      </c>
      <c r="H80" s="10" t="n">
        <v>3</v>
      </c>
      <c r="I80" s="10" t="s">
        <v>2600</v>
      </c>
      <c r="J80" s="10" t="s">
        <v>2565</v>
      </c>
      <c r="K80" s="10" t="s">
        <v>2566</v>
      </c>
    </row>
    <row r="81" customFormat="false" ht="15" hidden="false" customHeight="false" outlineLevel="0" collapsed="false">
      <c r="A81" s="10" t="s">
        <v>2601</v>
      </c>
      <c r="B81" s="10" t="s">
        <v>2562</v>
      </c>
      <c r="C81" s="10" t="s">
        <v>2601</v>
      </c>
      <c r="D81" s="10" t="n">
        <v>6</v>
      </c>
      <c r="E81" s="10" t="s">
        <v>2602</v>
      </c>
      <c r="F81" s="10"/>
      <c r="G81" s="10" t="s">
        <v>2603</v>
      </c>
      <c r="H81" s="10" t="n">
        <v>1</v>
      </c>
      <c r="I81" s="10" t="s">
        <v>2064</v>
      </c>
      <c r="J81" s="10" t="s">
        <v>2565</v>
      </c>
      <c r="K81" s="10" t="s">
        <v>2566</v>
      </c>
    </row>
    <row r="82" customFormat="false" ht="15" hidden="false" customHeight="false" outlineLevel="0" collapsed="false">
      <c r="A82" s="10" t="s">
        <v>2604</v>
      </c>
      <c r="B82" s="10" t="s">
        <v>2562</v>
      </c>
      <c r="C82" s="10" t="s">
        <v>2604</v>
      </c>
      <c r="D82" s="10" t="n">
        <v>10</v>
      </c>
      <c r="E82" s="10" t="s">
        <v>2605</v>
      </c>
      <c r="F82" s="10"/>
      <c r="G82" s="10" t="s">
        <v>2606</v>
      </c>
      <c r="H82" s="10" t="n">
        <v>0</v>
      </c>
      <c r="I82" s="10"/>
      <c r="J82" s="10" t="s">
        <v>2565</v>
      </c>
      <c r="K82" s="10" t="s">
        <v>2566</v>
      </c>
    </row>
    <row r="83" customFormat="false" ht="15" hidden="false" customHeight="false" outlineLevel="0" collapsed="false">
      <c r="A83" s="10" t="s">
        <v>2607</v>
      </c>
      <c r="B83" s="10" t="s">
        <v>2562</v>
      </c>
      <c r="C83" s="10" t="s">
        <v>2607</v>
      </c>
      <c r="D83" s="10" t="n">
        <v>7</v>
      </c>
      <c r="E83" s="10" t="s">
        <v>2608</v>
      </c>
      <c r="F83" s="10"/>
      <c r="G83" s="10" t="s">
        <v>2609</v>
      </c>
      <c r="H83" s="10" t="n">
        <v>1</v>
      </c>
      <c r="I83" s="10" t="s">
        <v>1174</v>
      </c>
      <c r="J83" s="10" t="s">
        <v>2565</v>
      </c>
      <c r="K83" s="10" t="s">
        <v>2566</v>
      </c>
    </row>
    <row r="84" customFormat="false" ht="15" hidden="false" customHeight="false" outlineLevel="0" collapsed="false">
      <c r="A84" s="10" t="s">
        <v>2610</v>
      </c>
      <c r="B84" s="10" t="s">
        <v>2562</v>
      </c>
      <c r="C84" s="10" t="s">
        <v>2611</v>
      </c>
      <c r="D84" s="10" t="n">
        <v>5</v>
      </c>
      <c r="E84" s="10" t="s">
        <v>2612</v>
      </c>
      <c r="F84" s="10"/>
      <c r="G84" s="10" t="s">
        <v>2613</v>
      </c>
      <c r="H84" s="10" t="n">
        <v>1</v>
      </c>
      <c r="I84" s="10" t="s">
        <v>1177</v>
      </c>
      <c r="J84" s="10" t="s">
        <v>2565</v>
      </c>
      <c r="K84" s="10" t="s">
        <v>2566</v>
      </c>
    </row>
    <row r="85" customFormat="false" ht="15" hidden="false" customHeight="false" outlineLevel="0" collapsed="false">
      <c r="A85" s="10" t="s">
        <v>2614</v>
      </c>
      <c r="B85" s="10" t="s">
        <v>2562</v>
      </c>
      <c r="C85" s="10" t="s">
        <v>2611</v>
      </c>
      <c r="D85" s="10" t="n">
        <v>5</v>
      </c>
      <c r="E85" s="10" t="s">
        <v>2615</v>
      </c>
      <c r="F85" s="10"/>
      <c r="G85" s="10" t="s">
        <v>2616</v>
      </c>
      <c r="H85" s="10" t="n">
        <v>1</v>
      </c>
      <c r="I85" s="10" t="s">
        <v>1177</v>
      </c>
      <c r="J85" s="10" t="s">
        <v>2565</v>
      </c>
      <c r="K85" s="10" t="s">
        <v>2566</v>
      </c>
    </row>
    <row r="86" customFormat="false" ht="15" hidden="false" customHeight="false" outlineLevel="0" collapsed="false">
      <c r="A86" s="10" t="s">
        <v>2617</v>
      </c>
      <c r="B86" s="10" t="s">
        <v>2562</v>
      </c>
      <c r="C86" s="10" t="s">
        <v>2611</v>
      </c>
      <c r="D86" s="10" t="n">
        <v>5</v>
      </c>
      <c r="E86" s="10" t="s">
        <v>2618</v>
      </c>
      <c r="F86" s="10"/>
      <c r="G86" s="10" t="s">
        <v>2619</v>
      </c>
      <c r="H86" s="10" t="n">
        <v>1</v>
      </c>
      <c r="I86" s="10" t="s">
        <v>1177</v>
      </c>
      <c r="J86" s="10" t="s">
        <v>2565</v>
      </c>
      <c r="K86" s="10" t="s">
        <v>2566</v>
      </c>
    </row>
    <row r="87" customFormat="false" ht="15" hidden="false" customHeight="false" outlineLevel="0" collapsed="false">
      <c r="A87" s="10" t="s">
        <v>2620</v>
      </c>
      <c r="B87" s="10" t="s">
        <v>2562</v>
      </c>
      <c r="C87" s="10" t="s">
        <v>2620</v>
      </c>
      <c r="D87" s="10" t="n">
        <v>6</v>
      </c>
      <c r="E87" s="10" t="s">
        <v>2621</v>
      </c>
      <c r="F87" s="10"/>
      <c r="G87" s="10" t="s">
        <v>2622</v>
      </c>
      <c r="H87" s="10" t="n">
        <v>2</v>
      </c>
      <c r="I87" s="10" t="s">
        <v>2623</v>
      </c>
      <c r="J87" s="10" t="s">
        <v>2565</v>
      </c>
      <c r="K87" s="10" t="s">
        <v>2566</v>
      </c>
    </row>
    <row r="88" customFormat="false" ht="15" hidden="false" customHeight="false" outlineLevel="0" collapsed="false">
      <c r="A88" s="10" t="s">
        <v>2624</v>
      </c>
      <c r="B88" s="10" t="s">
        <v>2562</v>
      </c>
      <c r="C88" s="10" t="s">
        <v>2624</v>
      </c>
      <c r="D88" s="10" t="n">
        <v>5</v>
      </c>
      <c r="E88" s="10" t="s">
        <v>2625</v>
      </c>
      <c r="F88" s="10"/>
      <c r="G88" s="10" t="s">
        <v>2626</v>
      </c>
      <c r="H88" s="10" t="n">
        <v>3</v>
      </c>
      <c r="I88" s="10" t="s">
        <v>2627</v>
      </c>
      <c r="J88" s="10" t="s">
        <v>2565</v>
      </c>
      <c r="K88" s="10" t="s">
        <v>2566</v>
      </c>
    </row>
    <row r="89" customFormat="false" ht="15" hidden="false" customHeight="false" outlineLevel="0" collapsed="false">
      <c r="A89" s="10" t="s">
        <v>2628</v>
      </c>
      <c r="B89" s="10" t="s">
        <v>2562</v>
      </c>
      <c r="C89" s="10" t="s">
        <v>2629</v>
      </c>
      <c r="D89" s="10" t="n">
        <v>6</v>
      </c>
      <c r="E89" s="10" t="s">
        <v>2625</v>
      </c>
      <c r="F89" s="10" t="s">
        <v>2630</v>
      </c>
      <c r="G89" s="10" t="s">
        <v>2631</v>
      </c>
      <c r="H89" s="10" t="n">
        <v>2</v>
      </c>
      <c r="I89" s="10" t="s">
        <v>2632</v>
      </c>
      <c r="J89" s="10" t="s">
        <v>2565</v>
      </c>
      <c r="K89" s="10" t="s">
        <v>2566</v>
      </c>
    </row>
    <row r="90" customFormat="false" ht="15" hidden="false" customHeight="false" outlineLevel="0" collapsed="false">
      <c r="A90" s="10" t="s">
        <v>2633</v>
      </c>
      <c r="B90" s="10" t="s">
        <v>2562</v>
      </c>
      <c r="C90" s="10" t="s">
        <v>2633</v>
      </c>
      <c r="D90" s="10" t="n">
        <v>5</v>
      </c>
      <c r="E90" s="10" t="s">
        <v>2634</v>
      </c>
      <c r="F90" s="10" t="s">
        <v>2635</v>
      </c>
      <c r="G90" s="10" t="s">
        <v>2636</v>
      </c>
      <c r="H90" s="10" t="n">
        <v>2</v>
      </c>
      <c r="I90" s="10" t="s">
        <v>2637</v>
      </c>
      <c r="J90" s="10" t="s">
        <v>2565</v>
      </c>
      <c r="K90" s="10" t="s">
        <v>2566</v>
      </c>
    </row>
    <row r="91" customFormat="false" ht="15" hidden="false" customHeight="false" outlineLevel="0" collapsed="false">
      <c r="A91" s="10" t="s">
        <v>2638</v>
      </c>
      <c r="B91" s="10" t="s">
        <v>2562</v>
      </c>
      <c r="C91" s="10" t="s">
        <v>2633</v>
      </c>
      <c r="D91" s="10" t="n">
        <v>5</v>
      </c>
      <c r="E91" s="10" t="s">
        <v>2634</v>
      </c>
      <c r="F91" s="10" t="s">
        <v>2635</v>
      </c>
      <c r="G91" s="10" t="s">
        <v>2639</v>
      </c>
      <c r="H91" s="10" t="n">
        <v>2</v>
      </c>
      <c r="I91" s="10" t="s">
        <v>2637</v>
      </c>
      <c r="J91" s="10" t="s">
        <v>2565</v>
      </c>
      <c r="K91" s="10" t="s">
        <v>2566</v>
      </c>
    </row>
    <row r="92" customFormat="false" ht="15" hidden="false" customHeight="false" outlineLevel="0" collapsed="false">
      <c r="A92" s="10" t="s">
        <v>2640</v>
      </c>
      <c r="B92" s="10" t="s">
        <v>2562</v>
      </c>
      <c r="C92" s="10" t="s">
        <v>2640</v>
      </c>
      <c r="D92" s="10" t="n">
        <v>4</v>
      </c>
      <c r="E92" s="10" t="s">
        <v>2641</v>
      </c>
      <c r="F92" s="10" t="s">
        <v>2642</v>
      </c>
      <c r="G92" s="10" t="s">
        <v>2643</v>
      </c>
      <c r="H92" s="10" t="n">
        <v>1</v>
      </c>
      <c r="I92" s="10" t="s">
        <v>1556</v>
      </c>
      <c r="J92" s="10" t="s">
        <v>2565</v>
      </c>
      <c r="K92" s="10" t="s">
        <v>2566</v>
      </c>
    </row>
    <row r="93" customFormat="false" ht="15" hidden="false" customHeight="false" outlineLevel="0" collapsed="false">
      <c r="A93" s="10" t="s">
        <v>2644</v>
      </c>
      <c r="B93" s="10" t="s">
        <v>2562</v>
      </c>
      <c r="C93" s="10" t="s">
        <v>2644</v>
      </c>
      <c r="D93" s="10" t="n">
        <v>6</v>
      </c>
      <c r="E93" s="10" t="s">
        <v>2645</v>
      </c>
      <c r="F93" s="10" t="s">
        <v>2646</v>
      </c>
      <c r="G93" s="10" t="s">
        <v>2647</v>
      </c>
      <c r="H93" s="10" t="n">
        <v>0</v>
      </c>
      <c r="I93" s="10"/>
      <c r="J93" s="10" t="s">
        <v>2565</v>
      </c>
      <c r="K93" s="10" t="s">
        <v>2566</v>
      </c>
    </row>
    <row r="94" customFormat="false" ht="15" hidden="false" customHeight="false" outlineLevel="0" collapsed="false">
      <c r="A94" s="10" t="s">
        <v>2648</v>
      </c>
      <c r="B94" s="10" t="s">
        <v>2562</v>
      </c>
      <c r="C94" s="10" t="s">
        <v>2648</v>
      </c>
      <c r="D94" s="10" t="n">
        <v>5</v>
      </c>
      <c r="E94" s="10" t="s">
        <v>2649</v>
      </c>
      <c r="F94" s="10"/>
      <c r="G94" s="10" t="s">
        <v>2650</v>
      </c>
      <c r="H94" s="10" t="n">
        <v>1</v>
      </c>
      <c r="I94" s="10" t="s">
        <v>1552</v>
      </c>
      <c r="J94" s="10" t="s">
        <v>2565</v>
      </c>
      <c r="K94" s="10" t="s">
        <v>2566</v>
      </c>
    </row>
    <row r="95" customFormat="false" ht="15" hidden="false" customHeight="false" outlineLevel="0" collapsed="false">
      <c r="A95" s="10" t="s">
        <v>2651</v>
      </c>
      <c r="B95" s="10" t="s">
        <v>2562</v>
      </c>
      <c r="C95" s="10" t="s">
        <v>2651</v>
      </c>
      <c r="D95" s="10" t="n">
        <v>5</v>
      </c>
      <c r="E95" s="10" t="s">
        <v>2652</v>
      </c>
      <c r="F95" s="10"/>
      <c r="G95" s="10" t="s">
        <v>2653</v>
      </c>
      <c r="H95" s="10" t="n">
        <v>0</v>
      </c>
      <c r="I95" s="10"/>
      <c r="J95" s="10" t="s">
        <v>2565</v>
      </c>
      <c r="K95" s="10" t="s">
        <v>2566</v>
      </c>
    </row>
    <row r="96" customFormat="false" ht="15" hidden="false" customHeight="false" outlineLevel="0" collapsed="false">
      <c r="A96" s="10" t="s">
        <v>2654</v>
      </c>
      <c r="B96" s="10" t="s">
        <v>2562</v>
      </c>
      <c r="C96" s="10" t="s">
        <v>2654</v>
      </c>
      <c r="D96" s="10" t="n">
        <v>5</v>
      </c>
      <c r="E96" s="10" t="s">
        <v>2655</v>
      </c>
      <c r="F96" s="10" t="s">
        <v>2656</v>
      </c>
      <c r="G96" s="10" t="s">
        <v>2657</v>
      </c>
      <c r="H96" s="10" t="n">
        <v>1</v>
      </c>
      <c r="I96" s="10" t="s">
        <v>479</v>
      </c>
      <c r="J96" s="10" t="s">
        <v>2565</v>
      </c>
      <c r="K96" s="10" t="s">
        <v>2566</v>
      </c>
    </row>
    <row r="97" customFormat="false" ht="15" hidden="false" customHeight="false" outlineLevel="0" collapsed="false">
      <c r="A97" s="10" t="s">
        <v>2658</v>
      </c>
      <c r="B97" s="10" t="s">
        <v>2562</v>
      </c>
      <c r="C97" s="10" t="s">
        <v>2658</v>
      </c>
      <c r="D97" s="10" t="n">
        <v>5</v>
      </c>
      <c r="E97" s="10" t="s">
        <v>2659</v>
      </c>
      <c r="F97" s="10"/>
      <c r="G97" s="10" t="s">
        <v>2660</v>
      </c>
      <c r="H97" s="10" t="n">
        <v>8</v>
      </c>
      <c r="I97" s="10" t="s">
        <v>2661</v>
      </c>
      <c r="J97" s="10" t="s">
        <v>2565</v>
      </c>
      <c r="K97" s="10" t="s">
        <v>2566</v>
      </c>
    </row>
    <row r="98" customFormat="false" ht="15" hidden="false" customHeight="false" outlineLevel="0" collapsed="false">
      <c r="A98" s="10" t="s">
        <v>2662</v>
      </c>
      <c r="B98" s="10" t="s">
        <v>2562</v>
      </c>
      <c r="C98" s="10" t="s">
        <v>2662</v>
      </c>
      <c r="D98" s="10" t="n">
        <v>5</v>
      </c>
      <c r="E98" s="10" t="s">
        <v>2663</v>
      </c>
      <c r="F98" s="10" t="s">
        <v>2579</v>
      </c>
      <c r="G98" s="10" t="s">
        <v>2664</v>
      </c>
      <c r="H98" s="10" t="n">
        <v>1</v>
      </c>
      <c r="I98" s="10" t="s">
        <v>2034</v>
      </c>
      <c r="J98" s="10" t="s">
        <v>2565</v>
      </c>
      <c r="K98" s="10" t="s">
        <v>2566</v>
      </c>
    </row>
    <row r="99" customFormat="false" ht="15" hidden="false" customHeight="false" outlineLevel="0" collapsed="false">
      <c r="A99" s="10" t="s">
        <v>2665</v>
      </c>
      <c r="B99" s="10" t="s">
        <v>2562</v>
      </c>
      <c r="C99" s="10" t="s">
        <v>2665</v>
      </c>
      <c r="D99" s="10" t="n">
        <v>11</v>
      </c>
      <c r="E99" s="10" t="s">
        <v>2666</v>
      </c>
      <c r="F99" s="10" t="s">
        <v>2667</v>
      </c>
      <c r="G99" s="10" t="s">
        <v>2668</v>
      </c>
      <c r="H99" s="10" t="n">
        <v>4</v>
      </c>
      <c r="I99" s="10" t="s">
        <v>2669</v>
      </c>
      <c r="J99" s="10" t="s">
        <v>2565</v>
      </c>
      <c r="K99" s="10" t="s">
        <v>2566</v>
      </c>
    </row>
    <row r="100" customFormat="false" ht="15" hidden="false" customHeight="false" outlineLevel="0" collapsed="false">
      <c r="A100" s="10" t="s">
        <v>2670</v>
      </c>
      <c r="B100" s="10" t="s">
        <v>2562</v>
      </c>
      <c r="C100" s="10" t="s">
        <v>2670</v>
      </c>
      <c r="D100" s="10" t="n">
        <v>6</v>
      </c>
      <c r="E100" s="10" t="s">
        <v>2671</v>
      </c>
      <c r="F100" s="10" t="s">
        <v>2672</v>
      </c>
      <c r="G100" s="10" t="s">
        <v>2673</v>
      </c>
      <c r="H100" s="10" t="n">
        <v>1</v>
      </c>
      <c r="I100" s="10" t="s">
        <v>2047</v>
      </c>
      <c r="J100" s="10" t="s">
        <v>2565</v>
      </c>
      <c r="K100" s="10" t="s">
        <v>2566</v>
      </c>
    </row>
    <row r="101" customFormat="false" ht="15" hidden="false" customHeight="false" outlineLevel="0" collapsed="false">
      <c r="A101" s="10" t="s">
        <v>2674</v>
      </c>
      <c r="B101" s="10" t="s">
        <v>2562</v>
      </c>
      <c r="C101" s="10" t="s">
        <v>2674</v>
      </c>
      <c r="D101" s="10" t="n">
        <v>6</v>
      </c>
      <c r="E101" s="10" t="s">
        <v>2675</v>
      </c>
      <c r="F101" s="10" t="s">
        <v>2676</v>
      </c>
      <c r="G101" s="10" t="s">
        <v>2677</v>
      </c>
      <c r="H101" s="10" t="n">
        <v>1</v>
      </c>
      <c r="I101" s="10" t="s">
        <v>1442</v>
      </c>
      <c r="J101" s="10" t="s">
        <v>2565</v>
      </c>
      <c r="K101" s="10" t="s">
        <v>2566</v>
      </c>
    </row>
    <row r="102" customFormat="false" ht="15" hidden="false" customHeight="false" outlineLevel="0" collapsed="false">
      <c r="A102" s="10" t="s">
        <v>2678</v>
      </c>
      <c r="B102" s="10" t="s">
        <v>2562</v>
      </c>
      <c r="C102" s="10" t="s">
        <v>2678</v>
      </c>
      <c r="D102" s="10" t="n">
        <v>4</v>
      </c>
      <c r="E102" s="10" t="s">
        <v>2679</v>
      </c>
      <c r="F102" s="10"/>
      <c r="G102" s="10" t="s">
        <v>2680</v>
      </c>
      <c r="H102" s="10" t="n">
        <v>1</v>
      </c>
      <c r="I102" s="10" t="s">
        <v>1439</v>
      </c>
      <c r="J102" s="10" t="s">
        <v>2565</v>
      </c>
      <c r="K102" s="10" t="s">
        <v>2566</v>
      </c>
    </row>
    <row r="103" customFormat="false" ht="15" hidden="false" customHeight="false" outlineLevel="0" collapsed="false">
      <c r="A103" s="10" t="s">
        <v>2681</v>
      </c>
      <c r="B103" s="10" t="s">
        <v>2562</v>
      </c>
      <c r="C103" s="10" t="s">
        <v>2681</v>
      </c>
      <c r="D103" s="10" t="n">
        <v>5</v>
      </c>
      <c r="E103" s="10" t="s">
        <v>2682</v>
      </c>
      <c r="F103" s="10" t="s">
        <v>2683</v>
      </c>
      <c r="G103" s="10" t="s">
        <v>2684</v>
      </c>
      <c r="H103" s="10" t="n">
        <v>2</v>
      </c>
      <c r="I103" s="10" t="s">
        <v>2685</v>
      </c>
      <c r="J103" s="10" t="s">
        <v>2565</v>
      </c>
      <c r="K103" s="10" t="s">
        <v>2566</v>
      </c>
    </row>
    <row r="104" customFormat="false" ht="15" hidden="false" customHeight="false" outlineLevel="0" collapsed="false">
      <c r="A104" s="10" t="s">
        <v>2686</v>
      </c>
      <c r="B104" s="10" t="s">
        <v>2687</v>
      </c>
      <c r="C104" s="10" t="s">
        <v>2686</v>
      </c>
      <c r="D104" s="10" t="n">
        <v>4</v>
      </c>
      <c r="E104" s="10" t="s">
        <v>2688</v>
      </c>
      <c r="F104" s="10" t="s">
        <v>2689</v>
      </c>
      <c r="G104" s="10" t="s">
        <v>2690</v>
      </c>
      <c r="H104" s="10" t="n">
        <v>1</v>
      </c>
      <c r="I104" s="10" t="s">
        <v>703</v>
      </c>
      <c r="J104" s="10" t="s">
        <v>2257</v>
      </c>
      <c r="K104" s="10" t="s">
        <v>2691</v>
      </c>
    </row>
    <row r="105" customFormat="false" ht="15" hidden="false" customHeight="false" outlineLevel="0" collapsed="false">
      <c r="A105" s="10" t="s">
        <v>2692</v>
      </c>
      <c r="B105" s="10" t="s">
        <v>2687</v>
      </c>
      <c r="C105" s="10" t="s">
        <v>2692</v>
      </c>
      <c r="D105" s="10" t="n">
        <v>4</v>
      </c>
      <c r="E105" s="10" t="s">
        <v>2693</v>
      </c>
      <c r="F105" s="10" t="s">
        <v>2694</v>
      </c>
      <c r="G105" s="10" t="s">
        <v>2695</v>
      </c>
      <c r="H105" s="10" t="n">
        <v>1</v>
      </c>
      <c r="I105" s="10" t="s">
        <v>706</v>
      </c>
      <c r="J105" s="10" t="s">
        <v>2257</v>
      </c>
      <c r="K105" s="10" t="s">
        <v>2691</v>
      </c>
    </row>
    <row r="106" customFormat="false" ht="15" hidden="false" customHeight="false" outlineLevel="0" collapsed="false">
      <c r="A106" s="10" t="s">
        <v>2696</v>
      </c>
      <c r="B106" s="10" t="s">
        <v>2687</v>
      </c>
      <c r="C106" s="10" t="s">
        <v>2696</v>
      </c>
      <c r="D106" s="10" t="n">
        <v>4</v>
      </c>
      <c r="E106" s="10" t="s">
        <v>2697</v>
      </c>
      <c r="F106" s="10" t="s">
        <v>2689</v>
      </c>
      <c r="G106" s="10" t="s">
        <v>2698</v>
      </c>
      <c r="H106" s="10" t="n">
        <v>1</v>
      </c>
      <c r="I106" s="10" t="s">
        <v>694</v>
      </c>
      <c r="J106" s="10" t="s">
        <v>2257</v>
      </c>
      <c r="K106" s="10" t="s">
        <v>2691</v>
      </c>
    </row>
    <row r="107" customFormat="false" ht="15" hidden="false" customHeight="false" outlineLevel="0" collapsed="false">
      <c r="A107" s="10" t="s">
        <v>2699</v>
      </c>
      <c r="B107" s="10" t="s">
        <v>2687</v>
      </c>
      <c r="C107" s="10" t="s">
        <v>2699</v>
      </c>
      <c r="D107" s="10" t="n">
        <v>3</v>
      </c>
      <c r="E107" s="10" t="s">
        <v>2700</v>
      </c>
      <c r="F107" s="10" t="s">
        <v>2701</v>
      </c>
      <c r="G107" s="10" t="s">
        <v>2702</v>
      </c>
      <c r="H107" s="10" t="n">
        <v>1</v>
      </c>
      <c r="I107" s="10" t="s">
        <v>694</v>
      </c>
      <c r="J107" s="10" t="s">
        <v>2257</v>
      </c>
      <c r="K107" s="10" t="s">
        <v>2691</v>
      </c>
    </row>
    <row r="108" customFormat="false" ht="15" hidden="false" customHeight="false" outlineLevel="0" collapsed="false">
      <c r="A108" s="10" t="s">
        <v>2703</v>
      </c>
      <c r="B108" s="10" t="s">
        <v>2687</v>
      </c>
      <c r="C108" s="10" t="s">
        <v>2703</v>
      </c>
      <c r="D108" s="10" t="n">
        <v>4</v>
      </c>
      <c r="E108" s="10" t="s">
        <v>2704</v>
      </c>
      <c r="F108" s="10" t="s">
        <v>2705</v>
      </c>
      <c r="G108" s="10" t="s">
        <v>2706</v>
      </c>
      <c r="H108" s="10" t="n">
        <v>0</v>
      </c>
      <c r="I108" s="10"/>
      <c r="J108" s="10" t="s">
        <v>2257</v>
      </c>
      <c r="K108" s="10" t="s">
        <v>2691</v>
      </c>
    </row>
    <row r="109" customFormat="false" ht="15" hidden="false" customHeight="false" outlineLevel="0" collapsed="false">
      <c r="A109" s="10" t="s">
        <v>2707</v>
      </c>
      <c r="B109" s="10" t="s">
        <v>2687</v>
      </c>
      <c r="C109" s="10" t="s">
        <v>2707</v>
      </c>
      <c r="D109" s="10" t="n">
        <v>3</v>
      </c>
      <c r="E109" s="10" t="s">
        <v>2708</v>
      </c>
      <c r="F109" s="10" t="s">
        <v>2709</v>
      </c>
      <c r="G109" s="10" t="s">
        <v>2710</v>
      </c>
      <c r="H109" s="10" t="n">
        <v>4</v>
      </c>
      <c r="I109" s="10" t="s">
        <v>2711</v>
      </c>
      <c r="J109" s="10" t="s">
        <v>2257</v>
      </c>
      <c r="K109" s="10" t="s">
        <v>2691</v>
      </c>
    </row>
    <row r="110" customFormat="false" ht="15" hidden="false" customHeight="false" outlineLevel="0" collapsed="false">
      <c r="A110" s="10" t="s">
        <v>2712</v>
      </c>
      <c r="B110" s="10" t="s">
        <v>2687</v>
      </c>
      <c r="C110" s="10" t="s">
        <v>2712</v>
      </c>
      <c r="D110" s="10" t="n">
        <v>4</v>
      </c>
      <c r="E110" s="10" t="s">
        <v>2713</v>
      </c>
      <c r="F110" s="10" t="s">
        <v>2714</v>
      </c>
      <c r="G110" s="10" t="s">
        <v>2715</v>
      </c>
      <c r="H110" s="10" t="n">
        <v>30</v>
      </c>
      <c r="I110" s="10" t="s">
        <v>2716</v>
      </c>
      <c r="J110" s="10" t="s">
        <v>2257</v>
      </c>
      <c r="K110" s="10" t="s">
        <v>2691</v>
      </c>
    </row>
    <row r="111" customFormat="false" ht="15" hidden="false" customHeight="false" outlineLevel="0" collapsed="false">
      <c r="A111" s="10" t="s">
        <v>2717</v>
      </c>
      <c r="B111" s="10" t="s">
        <v>2687</v>
      </c>
      <c r="C111" s="10" t="s">
        <v>2717</v>
      </c>
      <c r="D111" s="10" t="n">
        <v>3</v>
      </c>
      <c r="E111" s="10" t="s">
        <v>2718</v>
      </c>
      <c r="F111" s="10" t="s">
        <v>2719</v>
      </c>
      <c r="G111" s="10" t="s">
        <v>2720</v>
      </c>
      <c r="H111" s="10" t="n">
        <v>4</v>
      </c>
      <c r="I111" s="10" t="s">
        <v>2721</v>
      </c>
      <c r="J111" s="10" t="s">
        <v>2257</v>
      </c>
      <c r="K111" s="10" t="s">
        <v>2691</v>
      </c>
    </row>
    <row r="112" customFormat="false" ht="15" hidden="false" customHeight="false" outlineLevel="0" collapsed="false">
      <c r="A112" s="10" t="s">
        <v>2722</v>
      </c>
      <c r="B112" s="10" t="s">
        <v>2687</v>
      </c>
      <c r="C112" s="10" t="s">
        <v>2722</v>
      </c>
      <c r="D112" s="10" t="n">
        <v>4</v>
      </c>
      <c r="E112" s="10" t="s">
        <v>2723</v>
      </c>
      <c r="F112" s="10" t="s">
        <v>2724</v>
      </c>
      <c r="G112" s="10" t="s">
        <v>2725</v>
      </c>
      <c r="H112" s="10" t="n">
        <v>7</v>
      </c>
      <c r="I112" s="10" t="s">
        <v>2726</v>
      </c>
      <c r="J112" s="10" t="s">
        <v>2257</v>
      </c>
      <c r="K112" s="10" t="s">
        <v>2691</v>
      </c>
    </row>
    <row r="113" customFormat="false" ht="15" hidden="false" customHeight="false" outlineLevel="0" collapsed="false">
      <c r="A113" s="10" t="s">
        <v>2727</v>
      </c>
      <c r="B113" s="10" t="s">
        <v>2687</v>
      </c>
      <c r="C113" s="10" t="s">
        <v>2727</v>
      </c>
      <c r="D113" s="10" t="n">
        <v>3</v>
      </c>
      <c r="E113" s="10" t="s">
        <v>2728</v>
      </c>
      <c r="F113" s="10" t="s">
        <v>2729</v>
      </c>
      <c r="G113" s="10" t="s">
        <v>2730</v>
      </c>
      <c r="H113" s="10" t="n">
        <v>6</v>
      </c>
      <c r="I113" s="10" t="s">
        <v>2731</v>
      </c>
      <c r="J113" s="10" t="s">
        <v>2257</v>
      </c>
      <c r="K113" s="10" t="s">
        <v>2691</v>
      </c>
    </row>
    <row r="114" customFormat="false" ht="15" hidden="false" customHeight="false" outlineLevel="0" collapsed="false">
      <c r="A114" s="10" t="s">
        <v>2732</v>
      </c>
      <c r="B114" s="10" t="s">
        <v>2687</v>
      </c>
      <c r="C114" s="10" t="s">
        <v>2732</v>
      </c>
      <c r="D114" s="10" t="n">
        <v>3</v>
      </c>
      <c r="E114" s="10" t="s">
        <v>2733</v>
      </c>
      <c r="F114" s="10" t="s">
        <v>2734</v>
      </c>
      <c r="G114" s="10" t="s">
        <v>2735</v>
      </c>
      <c r="H114" s="10" t="n">
        <v>2</v>
      </c>
      <c r="I114" s="10" t="s">
        <v>2736</v>
      </c>
      <c r="J114" s="10" t="s">
        <v>2257</v>
      </c>
      <c r="K114" s="10" t="s">
        <v>2691</v>
      </c>
    </row>
    <row r="115" customFormat="false" ht="15" hidden="false" customHeight="false" outlineLevel="0" collapsed="false">
      <c r="A115" s="10" t="s">
        <v>2737</v>
      </c>
      <c r="B115" s="10" t="s">
        <v>2687</v>
      </c>
      <c r="C115" s="10" t="s">
        <v>2737</v>
      </c>
      <c r="D115" s="10" t="n">
        <v>2</v>
      </c>
      <c r="E115" s="10" t="s">
        <v>2738</v>
      </c>
      <c r="F115" s="10" t="s">
        <v>2739</v>
      </c>
      <c r="G115" s="10" t="s">
        <v>2740</v>
      </c>
      <c r="H115" s="10" t="n">
        <v>1</v>
      </c>
      <c r="I115" s="10" t="s">
        <v>1028</v>
      </c>
      <c r="J115" s="10" t="s">
        <v>2257</v>
      </c>
      <c r="K115" s="10" t="s">
        <v>2691</v>
      </c>
    </row>
    <row r="116" customFormat="false" ht="15" hidden="false" customHeight="false" outlineLevel="0" collapsed="false">
      <c r="A116" s="10" t="s">
        <v>2741</v>
      </c>
      <c r="B116" s="10" t="s">
        <v>2687</v>
      </c>
      <c r="C116" s="10" t="s">
        <v>2741</v>
      </c>
      <c r="D116" s="10" t="n">
        <v>3</v>
      </c>
      <c r="E116" s="10" t="s">
        <v>2742</v>
      </c>
      <c r="F116" s="10" t="s">
        <v>2743</v>
      </c>
      <c r="G116" s="10" t="s">
        <v>2744</v>
      </c>
      <c r="H116" s="10" t="n">
        <v>1</v>
      </c>
      <c r="I116" s="10" t="s">
        <v>886</v>
      </c>
      <c r="J116" s="10" t="s">
        <v>2257</v>
      </c>
      <c r="K116" s="10" t="s">
        <v>2691</v>
      </c>
    </row>
    <row r="117" customFormat="false" ht="15" hidden="false" customHeight="false" outlineLevel="0" collapsed="false">
      <c r="A117" s="10" t="s">
        <v>2745</v>
      </c>
      <c r="B117" s="10" t="s">
        <v>2687</v>
      </c>
      <c r="C117" s="10" t="s">
        <v>2745</v>
      </c>
      <c r="D117" s="10" t="n">
        <v>2</v>
      </c>
      <c r="E117" s="10" t="s">
        <v>2746</v>
      </c>
      <c r="F117" s="10" t="s">
        <v>2747</v>
      </c>
      <c r="G117" s="10" t="s">
        <v>2748</v>
      </c>
      <c r="H117" s="10" t="n">
        <v>3</v>
      </c>
      <c r="I117" s="10" t="s">
        <v>2749</v>
      </c>
      <c r="J117" s="10" t="s">
        <v>2257</v>
      </c>
      <c r="K117" s="10" t="s">
        <v>2691</v>
      </c>
    </row>
    <row r="118" customFormat="false" ht="15" hidden="false" customHeight="false" outlineLevel="0" collapsed="false">
      <c r="A118" s="10" t="s">
        <v>2750</v>
      </c>
      <c r="B118" s="10" t="s">
        <v>2687</v>
      </c>
      <c r="C118" s="10" t="s">
        <v>2750</v>
      </c>
      <c r="D118" s="10" t="n">
        <v>2</v>
      </c>
      <c r="E118" s="10" t="s">
        <v>2751</v>
      </c>
      <c r="F118" s="10" t="s">
        <v>2752</v>
      </c>
      <c r="G118" s="10" t="s">
        <v>2753</v>
      </c>
      <c r="H118" s="10" t="n">
        <v>2</v>
      </c>
      <c r="I118" s="10" t="s">
        <v>2754</v>
      </c>
      <c r="J118" s="10" t="s">
        <v>2257</v>
      </c>
      <c r="K118" s="10" t="s">
        <v>2691</v>
      </c>
    </row>
    <row r="119" customFormat="false" ht="15" hidden="false" customHeight="false" outlineLevel="0" collapsed="false">
      <c r="A119" s="10" t="s">
        <v>2755</v>
      </c>
      <c r="B119" s="10" t="s">
        <v>2687</v>
      </c>
      <c r="C119" s="10" t="s">
        <v>2755</v>
      </c>
      <c r="D119" s="10" t="n">
        <v>3</v>
      </c>
      <c r="E119" s="10" t="s">
        <v>2756</v>
      </c>
      <c r="F119" s="10" t="s">
        <v>2757</v>
      </c>
      <c r="G119" s="10" t="s">
        <v>2758</v>
      </c>
      <c r="H119" s="10" t="n">
        <v>1</v>
      </c>
      <c r="I119" s="10" t="s">
        <v>1291</v>
      </c>
      <c r="J119" s="10" t="s">
        <v>2257</v>
      </c>
      <c r="K119" s="10" t="s">
        <v>2691</v>
      </c>
    </row>
    <row r="120" customFormat="false" ht="15" hidden="false" customHeight="false" outlineLevel="0" collapsed="false">
      <c r="A120" s="10" t="s">
        <v>2759</v>
      </c>
      <c r="B120" s="10" t="s">
        <v>2687</v>
      </c>
      <c r="C120" s="10" t="s">
        <v>2759</v>
      </c>
      <c r="D120" s="10" t="n">
        <v>3</v>
      </c>
      <c r="E120" s="10" t="s">
        <v>2760</v>
      </c>
      <c r="F120" s="10" t="s">
        <v>2761</v>
      </c>
      <c r="G120" s="10" t="s">
        <v>2762</v>
      </c>
      <c r="H120" s="10" t="n">
        <v>1</v>
      </c>
      <c r="I120" s="10" t="s">
        <v>1707</v>
      </c>
      <c r="J120" s="10" t="s">
        <v>2257</v>
      </c>
      <c r="K120" s="10" t="s">
        <v>2691</v>
      </c>
    </row>
    <row r="121" customFormat="false" ht="15" hidden="false" customHeight="false" outlineLevel="0" collapsed="false">
      <c r="A121" s="10" t="s">
        <v>2763</v>
      </c>
      <c r="B121" s="10" t="s">
        <v>2687</v>
      </c>
      <c r="C121" s="10" t="s">
        <v>2763</v>
      </c>
      <c r="D121" s="10" t="n">
        <v>3</v>
      </c>
      <c r="E121" s="10" t="s">
        <v>2764</v>
      </c>
      <c r="F121" s="10" t="s">
        <v>2765</v>
      </c>
      <c r="G121" s="10" t="s">
        <v>2766</v>
      </c>
      <c r="H121" s="10" t="n">
        <v>0</v>
      </c>
      <c r="I121" s="10"/>
      <c r="J121" s="10" t="s">
        <v>2257</v>
      </c>
      <c r="K121" s="10" t="s">
        <v>2691</v>
      </c>
    </row>
    <row r="122" customFormat="false" ht="15" hidden="false" customHeight="false" outlineLevel="0" collapsed="false">
      <c r="A122" s="10" t="s">
        <v>2767</v>
      </c>
      <c r="B122" s="10" t="s">
        <v>2687</v>
      </c>
      <c r="C122" s="10" t="s">
        <v>2767</v>
      </c>
      <c r="D122" s="10" t="n">
        <v>3</v>
      </c>
      <c r="E122" s="10" t="s">
        <v>2768</v>
      </c>
      <c r="F122" s="10" t="s">
        <v>2769</v>
      </c>
      <c r="G122" s="10" t="s">
        <v>2770</v>
      </c>
      <c r="H122" s="10" t="n">
        <v>0</v>
      </c>
      <c r="I122" s="10"/>
      <c r="J122" s="10" t="s">
        <v>2257</v>
      </c>
      <c r="K122" s="10" t="s">
        <v>2691</v>
      </c>
    </row>
    <row r="123" customFormat="false" ht="15" hidden="false" customHeight="false" outlineLevel="0" collapsed="false">
      <c r="A123" s="10" t="s">
        <v>2771</v>
      </c>
      <c r="B123" s="10" t="s">
        <v>2687</v>
      </c>
      <c r="C123" s="10" t="s">
        <v>2771</v>
      </c>
      <c r="D123" s="10" t="n">
        <v>4</v>
      </c>
      <c r="E123" s="10" t="s">
        <v>2772</v>
      </c>
      <c r="F123" s="10" t="s">
        <v>2773</v>
      </c>
      <c r="G123" s="10" t="s">
        <v>2774</v>
      </c>
      <c r="H123" s="10" t="n">
        <v>2</v>
      </c>
      <c r="I123" s="10" t="s">
        <v>2775</v>
      </c>
      <c r="J123" s="10" t="s">
        <v>2257</v>
      </c>
      <c r="K123" s="10" t="s">
        <v>2691</v>
      </c>
    </row>
    <row r="124" customFormat="false" ht="15" hidden="false" customHeight="false" outlineLevel="0" collapsed="false">
      <c r="A124" s="10" t="s">
        <v>2776</v>
      </c>
      <c r="B124" s="10" t="s">
        <v>2687</v>
      </c>
      <c r="C124" s="10" t="s">
        <v>2776</v>
      </c>
      <c r="D124" s="10" t="n">
        <v>4</v>
      </c>
      <c r="E124" s="10" t="s">
        <v>2777</v>
      </c>
      <c r="F124" s="10" t="s">
        <v>2642</v>
      </c>
      <c r="G124" s="10" t="s">
        <v>2778</v>
      </c>
      <c r="H124" s="10" t="n">
        <v>5</v>
      </c>
      <c r="I124" s="10" t="s">
        <v>2779</v>
      </c>
      <c r="J124" s="10" t="s">
        <v>2257</v>
      </c>
      <c r="K124" s="10" t="s">
        <v>2691</v>
      </c>
    </row>
    <row r="125" customFormat="false" ht="15" hidden="false" customHeight="false" outlineLevel="0" collapsed="false">
      <c r="A125" s="10" t="s">
        <v>2780</v>
      </c>
      <c r="B125" s="10" t="s">
        <v>2781</v>
      </c>
      <c r="C125" s="10" t="s">
        <v>2780</v>
      </c>
      <c r="D125" s="10" t="n">
        <v>24</v>
      </c>
      <c r="E125" s="10"/>
      <c r="F125" s="10"/>
      <c r="G125" s="10" t="s">
        <v>2782</v>
      </c>
      <c r="H125" s="10" t="n">
        <v>0</v>
      </c>
      <c r="I125" s="10"/>
      <c r="J125" s="10" t="s">
        <v>2565</v>
      </c>
      <c r="K125" s="10" t="s">
        <v>2783</v>
      </c>
    </row>
    <row r="126" customFormat="false" ht="15" hidden="false" customHeight="false" outlineLevel="0" collapsed="false">
      <c r="A126" s="10" t="s">
        <v>2784</v>
      </c>
      <c r="B126" s="10" t="s">
        <v>2781</v>
      </c>
      <c r="C126" s="10" t="s">
        <v>2784</v>
      </c>
      <c r="D126" s="10" t="n">
        <v>12</v>
      </c>
      <c r="E126" s="10"/>
      <c r="F126" s="10"/>
      <c r="G126" s="10" t="s">
        <v>2785</v>
      </c>
      <c r="H126" s="10" t="n">
        <v>0</v>
      </c>
      <c r="I126" s="10"/>
      <c r="J126" s="10" t="s">
        <v>2565</v>
      </c>
      <c r="K126" s="10" t="s">
        <v>2783</v>
      </c>
    </row>
    <row r="127" customFormat="false" ht="15" hidden="false" customHeight="false" outlineLevel="0" collapsed="false">
      <c r="A127" s="10" t="s">
        <v>2786</v>
      </c>
      <c r="B127" s="10" t="s">
        <v>2781</v>
      </c>
      <c r="C127" s="10" t="s">
        <v>2786</v>
      </c>
      <c r="D127" s="10" t="n">
        <v>12</v>
      </c>
      <c r="E127" s="10"/>
      <c r="F127" s="10"/>
      <c r="G127" s="10" t="s">
        <v>2787</v>
      </c>
      <c r="H127" s="10" t="n">
        <v>0</v>
      </c>
      <c r="I127" s="10"/>
      <c r="J127" s="10" t="s">
        <v>2565</v>
      </c>
      <c r="K127" s="10" t="s">
        <v>2783</v>
      </c>
    </row>
    <row r="128" customFormat="false" ht="15" hidden="false" customHeight="false" outlineLevel="0" collapsed="false">
      <c r="A128" s="10" t="s">
        <v>2788</v>
      </c>
      <c r="B128" s="10" t="s">
        <v>2781</v>
      </c>
      <c r="C128" s="10" t="s">
        <v>2788</v>
      </c>
      <c r="D128" s="10" t="n">
        <v>7</v>
      </c>
      <c r="E128" s="10"/>
      <c r="F128" s="10"/>
      <c r="G128" s="10" t="s">
        <v>2789</v>
      </c>
      <c r="H128" s="10" t="n">
        <v>0</v>
      </c>
      <c r="I128" s="10"/>
      <c r="J128" s="10" t="s">
        <v>2565</v>
      </c>
      <c r="K128" s="10" t="s">
        <v>2783</v>
      </c>
    </row>
    <row r="129" customFormat="false" ht="15" hidden="false" customHeight="false" outlineLevel="0" collapsed="false">
      <c r="A129" s="10" t="s">
        <v>2790</v>
      </c>
      <c r="B129" s="10" t="s">
        <v>2781</v>
      </c>
      <c r="C129" s="10" t="s">
        <v>2790</v>
      </c>
      <c r="D129" s="10" t="n">
        <v>1</v>
      </c>
      <c r="E129" s="10"/>
      <c r="F129" s="10"/>
      <c r="G129" s="10" t="s">
        <v>2791</v>
      </c>
      <c r="H129" s="10" t="n">
        <v>0</v>
      </c>
      <c r="I129" s="10"/>
      <c r="J129" s="10" t="s">
        <v>2565</v>
      </c>
      <c r="K129" s="10" t="s">
        <v>2783</v>
      </c>
    </row>
    <row r="130" customFormat="false" ht="15" hidden="false" customHeight="false" outlineLevel="0" collapsed="false">
      <c r="A130" s="10" t="s">
        <v>2792</v>
      </c>
      <c r="B130" s="10" t="s">
        <v>2781</v>
      </c>
      <c r="C130" s="10" t="s">
        <v>2792</v>
      </c>
      <c r="D130" s="10" t="n">
        <v>2</v>
      </c>
      <c r="E130" s="10"/>
      <c r="F130" s="10"/>
      <c r="G130" s="10" t="s">
        <v>2793</v>
      </c>
      <c r="H130" s="10" t="n">
        <v>0</v>
      </c>
      <c r="I130" s="10"/>
      <c r="J130" s="10" t="s">
        <v>2565</v>
      </c>
      <c r="K130" s="10" t="s">
        <v>2783</v>
      </c>
    </row>
    <row r="131" customFormat="false" ht="15" hidden="false" customHeight="false" outlineLevel="0" collapsed="false">
      <c r="A131" s="10" t="s">
        <v>2794</v>
      </c>
      <c r="B131" s="10" t="s">
        <v>2781</v>
      </c>
      <c r="C131" s="10" t="s">
        <v>2794</v>
      </c>
      <c r="D131" s="10" t="n">
        <v>4</v>
      </c>
      <c r="E131" s="10"/>
      <c r="F131" s="10"/>
      <c r="G131" s="10" t="s">
        <v>2795</v>
      </c>
      <c r="H131" s="10" t="n">
        <v>0</v>
      </c>
      <c r="I131" s="10"/>
      <c r="J131" s="10" t="s">
        <v>2565</v>
      </c>
      <c r="K131" s="10" t="s">
        <v>2783</v>
      </c>
    </row>
    <row r="132" customFormat="false" ht="15" hidden="false" customHeight="false" outlineLevel="0" collapsed="false">
      <c r="A132" s="10" t="s">
        <v>2796</v>
      </c>
      <c r="B132" s="10" t="s">
        <v>2797</v>
      </c>
      <c r="C132" s="10" t="s">
        <v>2798</v>
      </c>
      <c r="D132" s="10" t="n">
        <v>16</v>
      </c>
      <c r="E132" s="10"/>
      <c r="F132" s="10"/>
      <c r="G132" s="10" t="s">
        <v>2799</v>
      </c>
      <c r="H132" s="10" t="n">
        <v>0</v>
      </c>
      <c r="I132" s="10"/>
      <c r="J132" s="10" t="s">
        <v>2565</v>
      </c>
      <c r="K132" s="10" t="s">
        <v>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1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8" t="s">
        <v>65</v>
      </c>
      <c r="B1" s="18" t="s">
        <v>2243</v>
      </c>
      <c r="C1" s="18" t="s">
        <v>2244</v>
      </c>
      <c r="D1" s="18" t="s">
        <v>393</v>
      </c>
      <c r="E1" s="18" t="s">
        <v>2245</v>
      </c>
      <c r="F1" s="18" t="s">
        <v>2801</v>
      </c>
      <c r="G1" s="18" t="s">
        <v>67</v>
      </c>
      <c r="H1" s="18" t="s">
        <v>2249</v>
      </c>
      <c r="I1" s="18" t="s">
        <v>2250</v>
      </c>
    </row>
    <row r="2" customFormat="false" ht="15" hidden="false" customHeight="false" outlineLevel="0" collapsed="false">
      <c r="A2" s="10" t="s">
        <v>2412</v>
      </c>
      <c r="B2" s="10" t="s">
        <v>2413</v>
      </c>
      <c r="C2" s="10" t="s">
        <v>2412</v>
      </c>
      <c r="D2" s="10" t="n">
        <v>24</v>
      </c>
      <c r="E2" s="10" t="s">
        <v>2414</v>
      </c>
      <c r="F2" s="10" t="s">
        <v>2802</v>
      </c>
      <c r="G2" s="10" t="n">
        <v>2</v>
      </c>
      <c r="H2" s="10" t="s">
        <v>2257</v>
      </c>
      <c r="I2" s="10" t="s">
        <v>2803</v>
      </c>
    </row>
    <row r="3" customFormat="false" ht="15" hidden="false" customHeight="false" outlineLevel="0" collapsed="false">
      <c r="A3" s="10" t="s">
        <v>2419</v>
      </c>
      <c r="B3" s="10" t="s">
        <v>2413</v>
      </c>
      <c r="C3" s="10" t="s">
        <v>2412</v>
      </c>
      <c r="D3" s="10" t="n">
        <v>24</v>
      </c>
      <c r="E3" s="10" t="s">
        <v>2420</v>
      </c>
      <c r="F3" s="10" t="s">
        <v>2802</v>
      </c>
      <c r="G3" s="10" t="n">
        <v>2</v>
      </c>
      <c r="H3" s="10" t="s">
        <v>2257</v>
      </c>
      <c r="I3" s="10" t="s">
        <v>2803</v>
      </c>
    </row>
    <row r="4" customFormat="false" ht="15" hidden="false" customHeight="false" outlineLevel="0" collapsed="false">
      <c r="A4" s="10" t="s">
        <v>2423</v>
      </c>
      <c r="B4" s="10" t="s">
        <v>2413</v>
      </c>
      <c r="C4" s="10" t="s">
        <v>2424</v>
      </c>
      <c r="D4" s="10" t="n">
        <v>14</v>
      </c>
      <c r="E4" s="10" t="s">
        <v>2425</v>
      </c>
      <c r="F4" s="10" t="s">
        <v>2804</v>
      </c>
      <c r="G4" s="10" t="n">
        <v>3</v>
      </c>
      <c r="H4" s="10" t="s">
        <v>2257</v>
      </c>
      <c r="I4" s="10" t="s">
        <v>2805</v>
      </c>
    </row>
    <row r="5" customFormat="false" ht="15" hidden="false" customHeight="false" outlineLevel="0" collapsed="false">
      <c r="A5" s="10" t="s">
        <v>2429</v>
      </c>
      <c r="B5" s="10" t="s">
        <v>2413</v>
      </c>
      <c r="C5" s="10" t="s">
        <v>2424</v>
      </c>
      <c r="D5" s="10" t="n">
        <v>13</v>
      </c>
      <c r="E5" s="10" t="s">
        <v>2430</v>
      </c>
      <c r="F5" s="10" t="s">
        <v>2804</v>
      </c>
      <c r="G5" s="10" t="n">
        <v>3</v>
      </c>
      <c r="H5" s="10" t="s">
        <v>2257</v>
      </c>
      <c r="I5" s="10" t="s">
        <v>2805</v>
      </c>
    </row>
    <row r="6" customFormat="false" ht="15" hidden="false" customHeight="false" outlineLevel="0" collapsed="false">
      <c r="A6" s="10" t="s">
        <v>2433</v>
      </c>
      <c r="B6" s="10" t="s">
        <v>2413</v>
      </c>
      <c r="C6" s="10" t="s">
        <v>2424</v>
      </c>
      <c r="D6" s="10" t="n">
        <v>17</v>
      </c>
      <c r="E6" s="10" t="s">
        <v>2434</v>
      </c>
      <c r="F6" s="10" t="s">
        <v>2804</v>
      </c>
      <c r="G6" s="10" t="n">
        <v>3</v>
      </c>
      <c r="H6" s="10" t="s">
        <v>2257</v>
      </c>
      <c r="I6" s="10" t="s">
        <v>2805</v>
      </c>
    </row>
    <row r="7" customFormat="false" ht="15" hidden="false" customHeight="false" outlineLevel="0" collapsed="false">
      <c r="A7" s="10" t="s">
        <v>2437</v>
      </c>
      <c r="B7" s="10" t="s">
        <v>2413</v>
      </c>
      <c r="C7" s="10" t="s">
        <v>2424</v>
      </c>
      <c r="D7" s="10" t="n">
        <v>14</v>
      </c>
      <c r="E7" s="10" t="s">
        <v>2438</v>
      </c>
      <c r="F7" s="10" t="s">
        <v>2804</v>
      </c>
      <c r="G7" s="10" t="n">
        <v>3</v>
      </c>
      <c r="H7" s="10" t="s">
        <v>2257</v>
      </c>
      <c r="I7" s="10" t="s">
        <v>2805</v>
      </c>
    </row>
    <row r="8" customFormat="false" ht="15" hidden="false" customHeight="false" outlineLevel="0" collapsed="false">
      <c r="A8" s="10" t="s">
        <v>2441</v>
      </c>
      <c r="B8" s="10" t="s">
        <v>2413</v>
      </c>
      <c r="C8" s="10" t="s">
        <v>2424</v>
      </c>
      <c r="D8" s="10" t="n">
        <v>13</v>
      </c>
      <c r="E8" s="10" t="s">
        <v>2442</v>
      </c>
      <c r="F8" s="10" t="s">
        <v>2804</v>
      </c>
      <c r="G8" s="10" t="n">
        <v>3</v>
      </c>
      <c r="H8" s="10" t="s">
        <v>2257</v>
      </c>
      <c r="I8" s="10" t="s">
        <v>2805</v>
      </c>
    </row>
    <row r="9" customFormat="false" ht="15" hidden="false" customHeight="false" outlineLevel="0" collapsed="false">
      <c r="A9" s="10" t="s">
        <v>2444</v>
      </c>
      <c r="B9" s="10" t="s">
        <v>2413</v>
      </c>
      <c r="C9" s="10" t="s">
        <v>2444</v>
      </c>
      <c r="D9" s="10" t="n">
        <v>38</v>
      </c>
      <c r="E9" s="10" t="s">
        <v>2445</v>
      </c>
      <c r="F9" s="10" t="s">
        <v>2806</v>
      </c>
      <c r="G9" s="10" t="n">
        <v>7</v>
      </c>
      <c r="H9" s="10" t="s">
        <v>2257</v>
      </c>
      <c r="I9" s="10" t="s">
        <v>2807</v>
      </c>
    </row>
    <row r="10" customFormat="false" ht="15" hidden="false" customHeight="false" outlineLevel="0" collapsed="false">
      <c r="A10" s="10" t="s">
        <v>2449</v>
      </c>
      <c r="B10" s="10" t="s">
        <v>2413</v>
      </c>
      <c r="C10" s="10" t="s">
        <v>2449</v>
      </c>
      <c r="D10" s="10" t="n">
        <v>21</v>
      </c>
      <c r="E10" s="10" t="s">
        <v>2450</v>
      </c>
      <c r="F10" s="10" t="s">
        <v>2808</v>
      </c>
      <c r="G10" s="10" t="n">
        <v>3</v>
      </c>
      <c r="H10" s="10" t="s">
        <v>2257</v>
      </c>
      <c r="I10" s="10" t="s">
        <v>2809</v>
      </c>
    </row>
    <row r="11" customFormat="false" ht="15" hidden="false" customHeight="false" outlineLevel="0" collapsed="false">
      <c r="A11" s="10" t="s">
        <v>2454</v>
      </c>
      <c r="B11" s="10" t="s">
        <v>2413</v>
      </c>
      <c r="C11" s="10" t="s">
        <v>2454</v>
      </c>
      <c r="D11" s="10" t="n">
        <v>17</v>
      </c>
      <c r="E11" s="10" t="s">
        <v>2455</v>
      </c>
      <c r="F11" s="10" t="s">
        <v>2810</v>
      </c>
      <c r="G11" s="10" t="n">
        <v>11</v>
      </c>
      <c r="H11" s="10" t="s">
        <v>2257</v>
      </c>
      <c r="I11" s="10" t="s">
        <v>2811</v>
      </c>
    </row>
    <row r="12" customFormat="false" ht="15" hidden="false" customHeight="false" outlineLevel="0" collapsed="false">
      <c r="A12" s="10" t="s">
        <v>2459</v>
      </c>
      <c r="B12" s="10" t="s">
        <v>2413</v>
      </c>
      <c r="C12" s="10" t="s">
        <v>2459</v>
      </c>
      <c r="D12" s="10" t="n">
        <v>17</v>
      </c>
      <c r="E12" s="10" t="s">
        <v>2460</v>
      </c>
      <c r="F12" s="10" t="s">
        <v>2812</v>
      </c>
      <c r="G12" s="10" t="n">
        <v>10</v>
      </c>
      <c r="H12" s="10" t="s">
        <v>2257</v>
      </c>
      <c r="I12" s="10" t="s">
        <v>2813</v>
      </c>
    </row>
    <row r="13" customFormat="false" ht="15" hidden="false" customHeight="false" outlineLevel="0" collapsed="false">
      <c r="A13" s="10" t="s">
        <v>2464</v>
      </c>
      <c r="B13" s="10" t="s">
        <v>2413</v>
      </c>
      <c r="C13" s="10" t="s">
        <v>2464</v>
      </c>
      <c r="D13" s="10" t="n">
        <v>18</v>
      </c>
      <c r="E13" s="10" t="s">
        <v>2465</v>
      </c>
      <c r="F13" s="10" t="s">
        <v>2814</v>
      </c>
      <c r="G13" s="10" t="n">
        <v>5</v>
      </c>
      <c r="H13" s="10" t="s">
        <v>2257</v>
      </c>
      <c r="I13" s="10" t="s">
        <v>2815</v>
      </c>
    </row>
    <row r="14" customFormat="false" ht="15" hidden="false" customHeight="false" outlineLevel="0" collapsed="false">
      <c r="A14" s="10" t="s">
        <v>2469</v>
      </c>
      <c r="B14" s="10" t="s">
        <v>2413</v>
      </c>
      <c r="C14" s="10" t="s">
        <v>2469</v>
      </c>
      <c r="D14" s="10" t="n">
        <v>18</v>
      </c>
      <c r="E14" s="10" t="s">
        <v>2470</v>
      </c>
      <c r="F14" s="10" t="s">
        <v>2816</v>
      </c>
      <c r="G14" s="10" t="n">
        <v>3</v>
      </c>
      <c r="H14" s="10" t="s">
        <v>2257</v>
      </c>
      <c r="I14" s="10" t="s">
        <v>2817</v>
      </c>
    </row>
    <row r="15" customFormat="false" ht="15" hidden="false" customHeight="false" outlineLevel="0" collapsed="false">
      <c r="A15" s="10" t="s">
        <v>2474</v>
      </c>
      <c r="B15" s="10" t="s">
        <v>2413</v>
      </c>
      <c r="C15" s="10" t="s">
        <v>2474</v>
      </c>
      <c r="D15" s="10" t="n">
        <v>25</v>
      </c>
      <c r="E15" s="10" t="s">
        <v>2475</v>
      </c>
      <c r="F15" s="10" t="s">
        <v>2818</v>
      </c>
      <c r="G15" s="10" t="n">
        <v>2</v>
      </c>
      <c r="H15" s="10" t="s">
        <v>2257</v>
      </c>
      <c r="I15" s="10" t="s">
        <v>2819</v>
      </c>
    </row>
    <row r="16" customFormat="false" ht="15" hidden="false" customHeight="false" outlineLevel="0" collapsed="false">
      <c r="A16" s="10" t="s">
        <v>2479</v>
      </c>
      <c r="B16" s="10" t="s">
        <v>2413</v>
      </c>
      <c r="C16" s="10" t="s">
        <v>2479</v>
      </c>
      <c r="D16" s="10" t="n">
        <v>28</v>
      </c>
      <c r="E16" s="10" t="s">
        <v>2480</v>
      </c>
      <c r="F16" s="10" t="s">
        <v>2820</v>
      </c>
      <c r="G16" s="10" t="n">
        <v>0</v>
      </c>
      <c r="H16" s="10" t="s">
        <v>2257</v>
      </c>
      <c r="I16" s="10" t="s">
        <v>2821</v>
      </c>
    </row>
    <row r="17" customFormat="false" ht="15" hidden="false" customHeight="false" outlineLevel="0" collapsed="false">
      <c r="A17" s="10" t="s">
        <v>2483</v>
      </c>
      <c r="B17" s="10" t="s">
        <v>2413</v>
      </c>
      <c r="C17" s="10" t="s">
        <v>2483</v>
      </c>
      <c r="D17" s="10" t="n">
        <v>32</v>
      </c>
      <c r="E17" s="10" t="s">
        <v>2484</v>
      </c>
      <c r="F17" s="10" t="s">
        <v>2822</v>
      </c>
      <c r="G17" s="10" t="n">
        <v>0</v>
      </c>
      <c r="H17" s="10" t="s">
        <v>2257</v>
      </c>
      <c r="I17" s="10" t="s">
        <v>2823</v>
      </c>
    </row>
    <row r="18" customFormat="false" ht="15" hidden="false" customHeight="false" outlineLevel="0" collapsed="false">
      <c r="A18" s="10" t="s">
        <v>2487</v>
      </c>
      <c r="B18" s="10" t="s">
        <v>2413</v>
      </c>
      <c r="C18" s="10" t="s">
        <v>2487</v>
      </c>
      <c r="D18" s="10" t="n">
        <v>16</v>
      </c>
      <c r="E18" s="10" t="s">
        <v>2488</v>
      </c>
      <c r="F18" s="10" t="s">
        <v>2824</v>
      </c>
      <c r="G18" s="10" t="n">
        <v>2</v>
      </c>
      <c r="H18" s="10" t="s">
        <v>2257</v>
      </c>
      <c r="I18" s="10" t="s">
        <v>2825</v>
      </c>
    </row>
    <row r="19" customFormat="false" ht="15" hidden="false" customHeight="false" outlineLevel="0" collapsed="false">
      <c r="A19" s="10" t="s">
        <v>2492</v>
      </c>
      <c r="B19" s="10" t="s">
        <v>2413</v>
      </c>
      <c r="C19" s="10" t="s">
        <v>2492</v>
      </c>
      <c r="D19" s="10" t="n">
        <v>33</v>
      </c>
      <c r="E19" s="10" t="s">
        <v>2493</v>
      </c>
      <c r="F19" s="10" t="s">
        <v>2826</v>
      </c>
      <c r="G19" s="10" t="n">
        <v>1</v>
      </c>
      <c r="H19" s="10" t="s">
        <v>2257</v>
      </c>
      <c r="I19" s="10" t="s">
        <v>2827</v>
      </c>
    </row>
    <row r="20" customFormat="false" ht="15" hidden="false" customHeight="false" outlineLevel="0" collapsed="false">
      <c r="A20" s="10" t="s">
        <v>2496</v>
      </c>
      <c r="B20" s="10" t="s">
        <v>2413</v>
      </c>
      <c r="C20" s="10" t="s">
        <v>2496</v>
      </c>
      <c r="D20" s="10" t="n">
        <v>21</v>
      </c>
      <c r="E20" s="10" t="s">
        <v>2497</v>
      </c>
      <c r="F20" s="10" t="s">
        <v>2828</v>
      </c>
      <c r="G20" s="10" t="n">
        <v>9</v>
      </c>
      <c r="H20" s="10" t="s">
        <v>2257</v>
      </c>
      <c r="I20" s="10" t="s">
        <v>2829</v>
      </c>
    </row>
    <row r="21" customFormat="false" ht="15" hidden="false" customHeight="false" outlineLevel="0" collapsed="false">
      <c r="A21" s="10" t="s">
        <v>2501</v>
      </c>
      <c r="B21" s="10" t="s">
        <v>2413</v>
      </c>
      <c r="C21" s="10" t="s">
        <v>2501</v>
      </c>
      <c r="D21" s="10" t="n">
        <v>19</v>
      </c>
      <c r="E21" s="10" t="s">
        <v>2502</v>
      </c>
      <c r="F21" s="10" t="s">
        <v>2830</v>
      </c>
      <c r="G21" s="10" t="n">
        <v>4</v>
      </c>
      <c r="H21" s="10" t="s">
        <v>2257</v>
      </c>
      <c r="I21" s="10" t="s">
        <v>2831</v>
      </c>
    </row>
    <row r="22" customFormat="false" ht="15" hidden="false" customHeight="false" outlineLevel="0" collapsed="false">
      <c r="A22" s="10" t="s">
        <v>2506</v>
      </c>
      <c r="B22" s="10" t="s">
        <v>2507</v>
      </c>
      <c r="C22" s="10" t="s">
        <v>2506</v>
      </c>
      <c r="D22" s="10" t="n">
        <v>16</v>
      </c>
      <c r="E22" s="10" t="s">
        <v>2508</v>
      </c>
      <c r="F22" s="10" t="s">
        <v>2832</v>
      </c>
      <c r="G22" s="10" t="n">
        <v>16</v>
      </c>
      <c r="H22" s="10" t="s">
        <v>2257</v>
      </c>
      <c r="I22" s="10" t="s">
        <v>2833</v>
      </c>
    </row>
    <row r="23" customFormat="false" ht="15" hidden="false" customHeight="false" outlineLevel="0" collapsed="false">
      <c r="A23" s="10" t="s">
        <v>2512</v>
      </c>
      <c r="B23" s="10" t="s">
        <v>2507</v>
      </c>
      <c r="C23" s="10" t="s">
        <v>2512</v>
      </c>
      <c r="D23" s="10" t="n">
        <v>35</v>
      </c>
      <c r="E23" s="10" t="s">
        <v>2513</v>
      </c>
      <c r="F23" s="10" t="s">
        <v>2834</v>
      </c>
      <c r="G23" s="10" t="n">
        <v>6</v>
      </c>
      <c r="H23" s="10" t="s">
        <v>2257</v>
      </c>
      <c r="I23" s="10" t="s">
        <v>2835</v>
      </c>
    </row>
    <row r="24" customFormat="false" ht="15" hidden="false" customHeight="false" outlineLevel="0" collapsed="false">
      <c r="A24" s="10" t="s">
        <v>2517</v>
      </c>
      <c r="B24" s="10" t="s">
        <v>2507</v>
      </c>
      <c r="C24" s="10" t="s">
        <v>2517</v>
      </c>
      <c r="D24" s="10" t="n">
        <v>15</v>
      </c>
      <c r="E24" s="10" t="s">
        <v>2518</v>
      </c>
      <c r="F24" s="10" t="s">
        <v>2836</v>
      </c>
      <c r="G24" s="10" t="n">
        <v>1</v>
      </c>
      <c r="H24" s="10" t="s">
        <v>2257</v>
      </c>
      <c r="I24" s="10" t="s">
        <v>2837</v>
      </c>
    </row>
    <row r="25" customFormat="false" ht="15" hidden="false" customHeight="false" outlineLevel="0" collapsed="false">
      <c r="A25" s="10" t="s">
        <v>2521</v>
      </c>
      <c r="B25" s="10" t="s">
        <v>2507</v>
      </c>
      <c r="C25" s="10" t="s">
        <v>2521</v>
      </c>
      <c r="D25" s="10" t="n">
        <v>17</v>
      </c>
      <c r="E25" s="10" t="s">
        <v>2522</v>
      </c>
      <c r="F25" s="10" t="s">
        <v>2838</v>
      </c>
      <c r="G25" s="10" t="n">
        <v>13</v>
      </c>
      <c r="H25" s="10" t="s">
        <v>2257</v>
      </c>
      <c r="I25" s="10" t="s">
        <v>2839</v>
      </c>
    </row>
    <row r="26" customFormat="false" ht="15" hidden="false" customHeight="false" outlineLevel="0" collapsed="false">
      <c r="A26" s="10" t="s">
        <v>2526</v>
      </c>
      <c r="B26" s="10" t="s">
        <v>2507</v>
      </c>
      <c r="C26" s="10" t="s">
        <v>2526</v>
      </c>
      <c r="D26" s="10" t="n">
        <v>13</v>
      </c>
      <c r="E26" s="10" t="s">
        <v>2527</v>
      </c>
      <c r="F26" s="10" t="s">
        <v>2840</v>
      </c>
      <c r="G26" s="10" t="n">
        <v>2</v>
      </c>
      <c r="H26" s="10" t="s">
        <v>2257</v>
      </c>
      <c r="I26" s="10" t="s">
        <v>2841</v>
      </c>
    </row>
    <row r="27" customFormat="false" ht="15" hidden="false" customHeight="false" outlineLevel="0" collapsed="false">
      <c r="A27" s="10" t="s">
        <v>2531</v>
      </c>
      <c r="B27" s="10" t="s">
        <v>2507</v>
      </c>
      <c r="C27" s="10" t="s">
        <v>2526</v>
      </c>
      <c r="D27" s="10" t="n">
        <v>16</v>
      </c>
      <c r="E27" s="10" t="s">
        <v>2532</v>
      </c>
      <c r="F27" s="10" t="s">
        <v>2840</v>
      </c>
      <c r="G27" s="10" t="n">
        <v>2</v>
      </c>
      <c r="H27" s="10" t="s">
        <v>2257</v>
      </c>
      <c r="I27" s="10" t="s">
        <v>2841</v>
      </c>
    </row>
    <row r="28" customFormat="false" ht="15" hidden="false" customHeight="false" outlineLevel="0" collapsed="false">
      <c r="A28" s="10" t="s">
        <v>2535</v>
      </c>
      <c r="B28" s="10" t="s">
        <v>2507</v>
      </c>
      <c r="C28" s="10" t="s">
        <v>2535</v>
      </c>
      <c r="D28" s="10" t="n">
        <v>30</v>
      </c>
      <c r="E28" s="10" t="s">
        <v>2536</v>
      </c>
      <c r="F28" s="10" t="s">
        <v>2842</v>
      </c>
      <c r="G28" s="10" t="n">
        <v>2</v>
      </c>
      <c r="H28" s="10" t="s">
        <v>2257</v>
      </c>
      <c r="I28" s="10" t="s">
        <v>2843</v>
      </c>
    </row>
    <row r="29" customFormat="false" ht="15" hidden="false" customHeight="false" outlineLevel="0" collapsed="false">
      <c r="A29" s="10" t="s">
        <v>2540</v>
      </c>
      <c r="B29" s="10" t="s">
        <v>2507</v>
      </c>
      <c r="C29" s="10" t="s">
        <v>2540</v>
      </c>
      <c r="D29" s="10" t="n">
        <v>20</v>
      </c>
      <c r="E29" s="10" t="s">
        <v>2541</v>
      </c>
      <c r="F29" s="10" t="s">
        <v>2844</v>
      </c>
      <c r="G29" s="10" t="n">
        <v>1</v>
      </c>
      <c r="H29" s="10" t="s">
        <v>2257</v>
      </c>
      <c r="I29" s="10" t="s">
        <v>2845</v>
      </c>
    </row>
    <row r="30" customFormat="false" ht="15" hidden="false" customHeight="false" outlineLevel="0" collapsed="false">
      <c r="A30" s="10" t="s">
        <v>2544</v>
      </c>
      <c r="B30" s="10" t="s">
        <v>2507</v>
      </c>
      <c r="C30" s="10" t="s">
        <v>2544</v>
      </c>
      <c r="D30" s="10" t="n">
        <v>12</v>
      </c>
      <c r="E30" s="10" t="s">
        <v>2545</v>
      </c>
      <c r="F30" s="10" t="s">
        <v>2846</v>
      </c>
      <c r="G30" s="10" t="n">
        <v>1</v>
      </c>
      <c r="H30" s="10" t="s">
        <v>2257</v>
      </c>
      <c r="I30" s="10" t="s">
        <v>2847</v>
      </c>
    </row>
    <row r="31" customFormat="false" ht="15" hidden="false" customHeight="false" outlineLevel="0" collapsed="false">
      <c r="A31" s="10" t="s">
        <v>2548</v>
      </c>
      <c r="B31" s="10" t="s">
        <v>2507</v>
      </c>
      <c r="C31" s="10" t="s">
        <v>2548</v>
      </c>
      <c r="D31" s="10" t="n">
        <v>12</v>
      </c>
      <c r="E31" s="10" t="s">
        <v>2549</v>
      </c>
      <c r="F31" s="10" t="s">
        <v>2848</v>
      </c>
      <c r="G31" s="10" t="n">
        <v>1</v>
      </c>
      <c r="H31" s="10" t="s">
        <v>2257</v>
      </c>
      <c r="I31" s="10" t="s">
        <v>2849</v>
      </c>
    </row>
    <row r="32" customFormat="false" ht="15" hidden="false" customHeight="false" outlineLevel="0" collapsed="false">
      <c r="A32" s="10" t="s">
        <v>2552</v>
      </c>
      <c r="B32" s="10" t="s">
        <v>2507</v>
      </c>
      <c r="C32" s="10" t="s">
        <v>2552</v>
      </c>
      <c r="D32" s="10" t="n">
        <v>20</v>
      </c>
      <c r="E32" s="10" t="s">
        <v>2553</v>
      </c>
      <c r="F32" s="10" t="s">
        <v>2850</v>
      </c>
      <c r="G32" s="10" t="n">
        <v>4</v>
      </c>
      <c r="H32" s="10" t="s">
        <v>2257</v>
      </c>
      <c r="I32" s="10" t="s">
        <v>2851</v>
      </c>
    </row>
    <row r="33" customFormat="false" ht="15" hidden="false" customHeight="false" outlineLevel="0" collapsed="false">
      <c r="A33" s="10" t="s">
        <v>2557</v>
      </c>
      <c r="B33" s="10" t="s">
        <v>2507</v>
      </c>
      <c r="C33" s="10" t="s">
        <v>2557</v>
      </c>
      <c r="D33" s="10" t="n">
        <v>9</v>
      </c>
      <c r="E33" s="10" t="s">
        <v>2558</v>
      </c>
      <c r="F33" s="10" t="s">
        <v>2852</v>
      </c>
      <c r="G33" s="10" t="n">
        <v>1</v>
      </c>
      <c r="H33" s="10" t="s">
        <v>2257</v>
      </c>
      <c r="I33" s="10" t="s">
        <v>2853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21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5" hidden="false" customHeight="false" outlineLevel="0" collapsed="false">
      <c r="A1" s="18" t="s">
        <v>65</v>
      </c>
      <c r="B1" s="18" t="s">
        <v>2854</v>
      </c>
      <c r="C1" s="18" t="s">
        <v>2855</v>
      </c>
      <c r="D1" s="18" t="s">
        <v>2856</v>
      </c>
      <c r="E1" s="18" t="s">
        <v>2857</v>
      </c>
      <c r="F1" s="18" t="s">
        <v>2858</v>
      </c>
      <c r="G1" s="18" t="s">
        <v>2859</v>
      </c>
      <c r="H1" s="18" t="s">
        <v>2860</v>
      </c>
      <c r="I1" s="18" t="s">
        <v>2861</v>
      </c>
      <c r="J1" s="18" t="s">
        <v>2862</v>
      </c>
      <c r="K1" s="18" t="s">
        <v>2863</v>
      </c>
      <c r="L1" s="18" t="s">
        <v>2250</v>
      </c>
    </row>
    <row r="2" customFormat="false" ht="15" hidden="false" customHeight="false" outlineLevel="0" collapsed="false">
      <c r="A2" s="10" t="s">
        <v>2864</v>
      </c>
      <c r="B2" s="10" t="s">
        <v>2865</v>
      </c>
      <c r="C2" s="10" t="s">
        <v>2866</v>
      </c>
      <c r="D2" s="10" t="n">
        <v>16</v>
      </c>
      <c r="E2" s="10" t="n">
        <v>50</v>
      </c>
      <c r="F2" s="10" t="n">
        <v>28</v>
      </c>
      <c r="G2" s="10" t="s">
        <v>2867</v>
      </c>
      <c r="H2" s="10" t="s">
        <v>2868</v>
      </c>
      <c r="I2" s="10" t="n">
        <v>113</v>
      </c>
      <c r="J2" s="10" t="n">
        <v>34</v>
      </c>
      <c r="K2" s="10" t="n">
        <v>6</v>
      </c>
      <c r="L2" s="10" t="s">
        <v>2869</v>
      </c>
    </row>
    <row r="3" customFormat="false" ht="15" hidden="false" customHeight="false" outlineLevel="0" collapsed="false">
      <c r="A3" s="10" t="s">
        <v>2870</v>
      </c>
      <c r="B3" s="10" t="s">
        <v>2871</v>
      </c>
      <c r="C3" s="10" t="s">
        <v>2872</v>
      </c>
      <c r="D3" s="10" t="n">
        <v>14</v>
      </c>
      <c r="E3" s="10" t="n">
        <v>32</v>
      </c>
      <c r="F3" s="10" t="n">
        <v>25</v>
      </c>
      <c r="G3" s="10" t="s">
        <v>2873</v>
      </c>
      <c r="H3" s="10" t="s">
        <v>2874</v>
      </c>
      <c r="I3" s="10" t="n">
        <v>40</v>
      </c>
      <c r="J3" s="10" t="n">
        <v>24</v>
      </c>
      <c r="K3" s="10" t="n">
        <v>4</v>
      </c>
      <c r="L3" s="10" t="s">
        <v>2875</v>
      </c>
    </row>
    <row r="4" customFormat="false" ht="15" hidden="false" customHeight="false" outlineLevel="0" collapsed="false">
      <c r="A4" s="10" t="s">
        <v>2876</v>
      </c>
      <c r="B4" s="10" t="s">
        <v>2877</v>
      </c>
      <c r="C4" s="10" t="s">
        <v>2878</v>
      </c>
      <c r="D4" s="10" t="n">
        <v>8</v>
      </c>
      <c r="E4" s="10" t="s">
        <v>2879</v>
      </c>
      <c r="F4" s="10"/>
      <c r="G4" s="10" t="s">
        <v>2880</v>
      </c>
      <c r="H4" s="10" t="s">
        <v>2881</v>
      </c>
      <c r="I4" s="10"/>
      <c r="J4" s="10"/>
      <c r="K4" s="10"/>
      <c r="L4" s="10" t="s">
        <v>2882</v>
      </c>
    </row>
    <row r="5" customFormat="false" ht="15" hidden="false" customHeight="false" outlineLevel="0" collapsed="false">
      <c r="A5" s="10" t="s">
        <v>2883</v>
      </c>
      <c r="B5" s="10" t="s">
        <v>2884</v>
      </c>
      <c r="C5" s="10" t="s">
        <v>2866</v>
      </c>
      <c r="D5" s="10" t="n">
        <v>4</v>
      </c>
      <c r="E5" s="10" t="s">
        <v>2885</v>
      </c>
      <c r="F5" s="10"/>
      <c r="G5" s="10" t="s">
        <v>2886</v>
      </c>
      <c r="H5" s="10"/>
      <c r="I5" s="10"/>
      <c r="J5" s="10"/>
      <c r="K5" s="10" t="n">
        <v>5</v>
      </c>
      <c r="L5" s="10" t="s">
        <v>2887</v>
      </c>
    </row>
    <row r="6" customFormat="false" ht="15" hidden="false" customHeight="false" outlineLevel="0" collapsed="false">
      <c r="A6" s="10" t="s">
        <v>2888</v>
      </c>
      <c r="B6" s="10" t="s">
        <v>2889</v>
      </c>
      <c r="C6" s="10"/>
      <c r="D6" s="10"/>
      <c r="E6" s="10"/>
      <c r="F6" s="10"/>
      <c r="G6" s="10"/>
      <c r="H6" s="10" t="s">
        <v>2890</v>
      </c>
      <c r="I6" s="10"/>
      <c r="J6" s="10"/>
      <c r="K6" s="10"/>
      <c r="L6" s="10" t="s">
        <v>2891</v>
      </c>
    </row>
    <row r="7" customFormat="false" ht="15" hidden="false" customHeight="false" outlineLevel="0" collapsed="false">
      <c r="A7" s="10" t="s">
        <v>2892</v>
      </c>
      <c r="B7" s="10" t="s">
        <v>2889</v>
      </c>
      <c r="C7" s="10"/>
      <c r="D7" s="10"/>
      <c r="E7" s="10"/>
      <c r="F7" s="10"/>
      <c r="G7" s="10"/>
      <c r="H7" s="10" t="s">
        <v>2890</v>
      </c>
      <c r="I7" s="10"/>
      <c r="J7" s="10"/>
      <c r="K7" s="10"/>
      <c r="L7" s="10" t="s">
        <v>2891</v>
      </c>
    </row>
    <row r="8" customFormat="false" ht="15" hidden="false" customHeight="false" outlineLevel="0" collapsed="false">
      <c r="A8" s="10" t="s">
        <v>2893</v>
      </c>
      <c r="B8" s="10" t="s">
        <v>2889</v>
      </c>
      <c r="C8" s="10"/>
      <c r="D8" s="10"/>
      <c r="E8" s="10"/>
      <c r="F8" s="10"/>
      <c r="G8" s="10"/>
      <c r="H8" s="10" t="s">
        <v>2890</v>
      </c>
      <c r="I8" s="10"/>
      <c r="J8" s="10"/>
      <c r="K8" s="10"/>
      <c r="L8" s="10" t="s">
        <v>2891</v>
      </c>
    </row>
    <row r="9" customFormat="false" ht="15" hidden="false" customHeight="false" outlineLevel="0" collapsed="false">
      <c r="A9" s="10" t="s">
        <v>2894</v>
      </c>
      <c r="B9" s="10" t="s">
        <v>2889</v>
      </c>
      <c r="C9" s="10"/>
      <c r="D9" s="10"/>
      <c r="E9" s="10"/>
      <c r="F9" s="10"/>
      <c r="G9" s="10"/>
      <c r="H9" s="10" t="s">
        <v>2890</v>
      </c>
      <c r="I9" s="10"/>
      <c r="J9" s="10"/>
      <c r="K9" s="10"/>
      <c r="L9" s="10" t="s">
        <v>2891</v>
      </c>
    </row>
    <row r="10" customFormat="false" ht="15" hidden="false" customHeight="false" outlineLevel="0" collapsed="false">
      <c r="A10" s="10" t="s">
        <v>2895</v>
      </c>
      <c r="B10" s="10" t="s">
        <v>2889</v>
      </c>
      <c r="C10" s="10"/>
      <c r="D10" s="10"/>
      <c r="E10" s="10"/>
      <c r="F10" s="10"/>
      <c r="G10" s="10"/>
      <c r="H10" s="10" t="s">
        <v>2890</v>
      </c>
      <c r="I10" s="10"/>
      <c r="J10" s="10"/>
      <c r="K10" s="10"/>
      <c r="L10" s="10" t="s">
        <v>2891</v>
      </c>
    </row>
    <row r="11" customFormat="false" ht="15" hidden="false" customHeight="false" outlineLevel="0" collapsed="false">
      <c r="A11" s="10" t="s">
        <v>2896</v>
      </c>
      <c r="B11" s="10" t="s">
        <v>2889</v>
      </c>
      <c r="C11" s="10"/>
      <c r="D11" s="10"/>
      <c r="E11" s="10"/>
      <c r="F11" s="10"/>
      <c r="G11" s="10"/>
      <c r="H11" s="10" t="s">
        <v>2890</v>
      </c>
      <c r="I11" s="10"/>
      <c r="J11" s="10"/>
      <c r="K11" s="10"/>
      <c r="L11" s="10" t="s">
        <v>2891</v>
      </c>
    </row>
    <row r="12" customFormat="false" ht="15" hidden="false" customHeight="false" outlineLevel="0" collapsed="false">
      <c r="A12" s="10" t="s">
        <v>2897</v>
      </c>
      <c r="B12" s="10" t="s">
        <v>2889</v>
      </c>
      <c r="C12" s="10"/>
      <c r="D12" s="10"/>
      <c r="E12" s="10"/>
      <c r="F12" s="10"/>
      <c r="G12" s="10"/>
      <c r="H12" s="10" t="s">
        <v>2890</v>
      </c>
      <c r="I12" s="10"/>
      <c r="J12" s="10"/>
      <c r="K12" s="10"/>
      <c r="L12" s="10" t="s">
        <v>2891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60"/>
    <col collapsed="false" customWidth="true" hidden="false" outlineLevel="0" max="4" min="4" style="0" width="47"/>
    <col collapsed="false" customWidth="true" hidden="false" outlineLevel="0" max="5" min="5" style="0" width="15"/>
    <col collapsed="false" customWidth="true" hidden="false" outlineLevel="0" max="7" min="6" style="0" width="60"/>
  </cols>
  <sheetData>
    <row r="1" customFormat="false" ht="15" hidden="false" customHeight="false" outlineLevel="0" collapsed="false">
      <c r="A1" s="18" t="s">
        <v>65</v>
      </c>
      <c r="B1" s="18" t="s">
        <v>2898</v>
      </c>
      <c r="C1" s="18" t="s">
        <v>2899</v>
      </c>
      <c r="D1" s="18" t="s">
        <v>2900</v>
      </c>
      <c r="E1" s="18" t="s">
        <v>2901</v>
      </c>
      <c r="F1" s="18" t="s">
        <v>2902</v>
      </c>
      <c r="G1" s="18" t="s">
        <v>2250</v>
      </c>
    </row>
    <row r="2" customFormat="false" ht="15" hidden="false" customHeight="false" outlineLevel="0" collapsed="false">
      <c r="A2" s="10" t="s">
        <v>2903</v>
      </c>
      <c r="B2" s="10" t="s">
        <v>2904</v>
      </c>
      <c r="C2" s="10" t="s">
        <v>2905</v>
      </c>
      <c r="D2" s="10" t="s">
        <v>2906</v>
      </c>
      <c r="E2" s="10" t="n">
        <v>1</v>
      </c>
      <c r="F2" s="10" t="s">
        <v>2907</v>
      </c>
      <c r="G2" s="10" t="s">
        <v>2908</v>
      </c>
    </row>
    <row r="3" customFormat="false" ht="15" hidden="false" customHeight="false" outlineLevel="0" collapsed="false">
      <c r="A3" s="10" t="s">
        <v>2909</v>
      </c>
      <c r="B3" s="10" t="s">
        <v>2910</v>
      </c>
      <c r="C3" s="10" t="s">
        <v>2911</v>
      </c>
      <c r="D3" s="10" t="s">
        <v>2912</v>
      </c>
      <c r="E3" s="10" t="n">
        <v>0</v>
      </c>
      <c r="F3" s="10"/>
      <c r="G3" s="10" t="s">
        <v>2913</v>
      </c>
    </row>
    <row r="4" customFormat="false" ht="15" hidden="false" customHeight="false" outlineLevel="0" collapsed="false">
      <c r="A4" s="10" t="s">
        <v>2864</v>
      </c>
      <c r="B4" s="10" t="s">
        <v>2865</v>
      </c>
      <c r="C4" s="10" t="s">
        <v>2914</v>
      </c>
      <c r="D4" s="10" t="s">
        <v>2906</v>
      </c>
      <c r="E4" s="10" t="n">
        <v>14</v>
      </c>
      <c r="F4" s="10" t="s">
        <v>2915</v>
      </c>
      <c r="G4" s="10" t="s">
        <v>2916</v>
      </c>
    </row>
    <row r="5" customFormat="false" ht="15" hidden="false" customHeight="false" outlineLevel="0" collapsed="false">
      <c r="A5" s="10" t="s">
        <v>2876</v>
      </c>
      <c r="B5" s="10" t="s">
        <v>2877</v>
      </c>
      <c r="C5" s="10" t="s">
        <v>2917</v>
      </c>
      <c r="D5" s="10" t="s">
        <v>2906</v>
      </c>
      <c r="E5" s="10" t="n">
        <v>8</v>
      </c>
      <c r="F5" s="10" t="s">
        <v>2918</v>
      </c>
      <c r="G5" s="10" t="s">
        <v>2919</v>
      </c>
    </row>
    <row r="6" customFormat="false" ht="15" hidden="false" customHeight="false" outlineLevel="0" collapsed="false">
      <c r="A6" s="10" t="s">
        <v>2920</v>
      </c>
      <c r="B6" s="10" t="s">
        <v>2921</v>
      </c>
      <c r="C6" s="10" t="s">
        <v>2922</v>
      </c>
      <c r="D6" s="10" t="s">
        <v>2923</v>
      </c>
      <c r="E6" s="10" t="n">
        <v>0</v>
      </c>
      <c r="F6" s="10"/>
      <c r="G6" s="10" t="s">
        <v>2924</v>
      </c>
    </row>
    <row r="7" customFormat="false" ht="15" hidden="false" customHeight="false" outlineLevel="0" collapsed="false">
      <c r="A7" s="10" t="s">
        <v>2925</v>
      </c>
      <c r="B7" s="10" t="s">
        <v>2926</v>
      </c>
      <c r="C7" s="10" t="s">
        <v>2927</v>
      </c>
      <c r="D7" s="10" t="s">
        <v>2928</v>
      </c>
      <c r="E7" s="10" t="n">
        <v>0</v>
      </c>
      <c r="F7" s="10"/>
      <c r="G7" s="10" t="s">
        <v>2929</v>
      </c>
    </row>
    <row r="8" customFormat="false" ht="15" hidden="false" customHeight="false" outlineLevel="0" collapsed="false">
      <c r="A8" s="10" t="s">
        <v>2930</v>
      </c>
      <c r="B8" s="10" t="s">
        <v>2931</v>
      </c>
      <c r="C8" s="10" t="s">
        <v>2932</v>
      </c>
      <c r="D8" s="10" t="s">
        <v>2912</v>
      </c>
      <c r="E8" s="10" t="n">
        <v>5</v>
      </c>
      <c r="F8" s="10" t="s">
        <v>2933</v>
      </c>
      <c r="G8" s="10" t="s">
        <v>2934</v>
      </c>
    </row>
    <row r="9" customFormat="false" ht="15" hidden="false" customHeight="false" outlineLevel="0" collapsed="false">
      <c r="A9" s="10" t="s">
        <v>2935</v>
      </c>
      <c r="B9" s="10" t="s">
        <v>2936</v>
      </c>
      <c r="C9" s="10" t="s">
        <v>2937</v>
      </c>
      <c r="D9" s="10" t="s">
        <v>2906</v>
      </c>
      <c r="E9" s="10" t="n">
        <v>1</v>
      </c>
      <c r="F9" s="10" t="s">
        <v>2938</v>
      </c>
      <c r="G9" s="10" t="s">
        <v>2939</v>
      </c>
    </row>
    <row r="10" customFormat="false" ht="15" hidden="false" customHeight="false" outlineLevel="0" collapsed="false">
      <c r="A10" s="10" t="s">
        <v>2883</v>
      </c>
      <c r="B10" s="10" t="s">
        <v>2884</v>
      </c>
      <c r="C10" s="10" t="s">
        <v>2940</v>
      </c>
      <c r="D10" s="10" t="s">
        <v>2906</v>
      </c>
      <c r="E10" s="10" t="n">
        <v>10</v>
      </c>
      <c r="F10" s="10" t="s">
        <v>2941</v>
      </c>
      <c r="G10" s="10" t="s">
        <v>2942</v>
      </c>
    </row>
    <row r="11" customFormat="false" ht="15" hidden="false" customHeight="false" outlineLevel="0" collapsed="false">
      <c r="A11" s="10" t="s">
        <v>2943</v>
      </c>
      <c r="B11" s="10" t="s">
        <v>2889</v>
      </c>
      <c r="C11" s="10" t="s">
        <v>2944</v>
      </c>
      <c r="D11" s="10" t="s">
        <v>2945</v>
      </c>
      <c r="E11" s="10" t="n">
        <v>0</v>
      </c>
      <c r="F11" s="10"/>
      <c r="G11" s="10" t="s">
        <v>2946</v>
      </c>
    </row>
    <row r="12" customFormat="false" ht="15" hidden="false" customHeight="false" outlineLevel="0" collapsed="false">
      <c r="A12" s="10" t="s">
        <v>2214</v>
      </c>
      <c r="B12" s="10" t="s">
        <v>2947</v>
      </c>
      <c r="C12" s="10" t="s">
        <v>2214</v>
      </c>
      <c r="D12" s="10" t="s">
        <v>2923</v>
      </c>
      <c r="E12" s="10" t="n">
        <v>17</v>
      </c>
      <c r="F12" s="10" t="s">
        <v>2948</v>
      </c>
      <c r="G12" s="10" t="s">
        <v>2949</v>
      </c>
    </row>
    <row r="13" customFormat="false" ht="15" hidden="false" customHeight="false" outlineLevel="0" collapsed="false">
      <c r="A13" s="10" t="s">
        <v>2870</v>
      </c>
      <c r="B13" s="10" t="s">
        <v>2871</v>
      </c>
      <c r="C13" s="10" t="s">
        <v>2950</v>
      </c>
      <c r="D13" s="10" t="s">
        <v>2906</v>
      </c>
      <c r="E13" s="10" t="n">
        <v>20</v>
      </c>
      <c r="F13" s="10" t="s">
        <v>2951</v>
      </c>
      <c r="G13" s="10" t="s">
        <v>2952</v>
      </c>
    </row>
    <row r="14" customFormat="false" ht="15" hidden="false" customHeight="false" outlineLevel="0" collapsed="false">
      <c r="A14" s="10" t="s">
        <v>2953</v>
      </c>
      <c r="B14" s="10" t="s">
        <v>2954</v>
      </c>
      <c r="C14" s="10" t="s">
        <v>2955</v>
      </c>
      <c r="D14" s="10" t="s">
        <v>2956</v>
      </c>
      <c r="E14" s="10" t="n">
        <v>0</v>
      </c>
      <c r="F14" s="10"/>
      <c r="G14" s="10" t="s">
        <v>2957</v>
      </c>
    </row>
    <row r="15" customFormat="false" ht="15" hidden="false" customHeight="false" outlineLevel="0" collapsed="false">
      <c r="A15" s="10" t="s">
        <v>2958</v>
      </c>
      <c r="B15" s="10" t="s">
        <v>2959</v>
      </c>
      <c r="C15" s="10" t="s">
        <v>2960</v>
      </c>
      <c r="D15" s="10" t="s">
        <v>2956</v>
      </c>
      <c r="E15" s="10" t="n">
        <v>0</v>
      </c>
      <c r="F15" s="10"/>
      <c r="G15" s="10" t="s">
        <v>2961</v>
      </c>
    </row>
    <row r="16" customFormat="false" ht="15" hidden="false" customHeight="false" outlineLevel="0" collapsed="false">
      <c r="A16" s="10" t="s">
        <v>2962</v>
      </c>
      <c r="B16" s="10" t="s">
        <v>2963</v>
      </c>
      <c r="C16" s="10" t="s">
        <v>2964</v>
      </c>
      <c r="D16" s="10" t="s">
        <v>2956</v>
      </c>
      <c r="E16" s="10" t="n">
        <v>0</v>
      </c>
      <c r="F16" s="10"/>
      <c r="G16" s="10" t="s">
        <v>2965</v>
      </c>
    </row>
    <row r="17" customFormat="false" ht="15" hidden="false" customHeight="false" outlineLevel="0" collapsed="false">
      <c r="A17" s="10" t="s">
        <v>2966</v>
      </c>
      <c r="B17" s="10" t="s">
        <v>2967</v>
      </c>
      <c r="C17" s="10" t="s">
        <v>2968</v>
      </c>
      <c r="D17" s="10" t="s">
        <v>2956</v>
      </c>
      <c r="E17" s="10" t="n">
        <v>0</v>
      </c>
      <c r="F17" s="10"/>
      <c r="G17" s="10" t="s">
        <v>2969</v>
      </c>
    </row>
    <row r="18" customFormat="false" ht="15" hidden="false" customHeight="false" outlineLevel="0" collapsed="false">
      <c r="A18" s="10" t="s">
        <v>2970</v>
      </c>
      <c r="B18" s="10" t="s">
        <v>2971</v>
      </c>
      <c r="C18" s="10" t="s">
        <v>2972</v>
      </c>
      <c r="D18" s="10" t="s">
        <v>2956</v>
      </c>
      <c r="E18" s="10" t="n">
        <v>0</v>
      </c>
      <c r="F18" s="10"/>
      <c r="G18" s="10" t="s">
        <v>2973</v>
      </c>
    </row>
    <row r="19" customFormat="false" ht="15" hidden="false" customHeight="false" outlineLevel="0" collapsed="false">
      <c r="A19" s="10" t="s">
        <v>2974</v>
      </c>
      <c r="B19" s="10" t="s">
        <v>2975</v>
      </c>
      <c r="C19" s="10" t="s">
        <v>2976</v>
      </c>
      <c r="D19" s="10" t="s">
        <v>2956</v>
      </c>
      <c r="E19" s="10" t="n">
        <v>0</v>
      </c>
      <c r="F19" s="10"/>
      <c r="G19" s="10" t="s">
        <v>2977</v>
      </c>
    </row>
    <row r="20" customFormat="false" ht="15" hidden="false" customHeight="false" outlineLevel="0" collapsed="false">
      <c r="A20" s="10" t="s">
        <v>2978</v>
      </c>
      <c r="B20" s="10" t="s">
        <v>2979</v>
      </c>
      <c r="C20" s="10" t="s">
        <v>2980</v>
      </c>
      <c r="D20" s="10" t="s">
        <v>2956</v>
      </c>
      <c r="E20" s="10" t="n">
        <v>0</v>
      </c>
      <c r="F20" s="10"/>
      <c r="G20" s="10" t="s">
        <v>2981</v>
      </c>
    </row>
    <row r="21" customFormat="false" ht="15" hidden="false" customHeight="false" outlineLevel="0" collapsed="false">
      <c r="A21" s="10" t="s">
        <v>2982</v>
      </c>
      <c r="B21" s="10" t="s">
        <v>2983</v>
      </c>
      <c r="C21" s="10" t="s">
        <v>2984</v>
      </c>
      <c r="D21" s="10" t="s">
        <v>2956</v>
      </c>
      <c r="E21" s="10" t="n">
        <v>0</v>
      </c>
      <c r="F21" s="10"/>
      <c r="G21" s="10" t="s">
        <v>2985</v>
      </c>
    </row>
    <row r="22" customFormat="false" ht="15" hidden="false" customHeight="false" outlineLevel="0" collapsed="false">
      <c r="A22" s="10" t="s">
        <v>2986</v>
      </c>
      <c r="B22" s="10" t="s">
        <v>2987</v>
      </c>
      <c r="C22" s="10" t="s">
        <v>2988</v>
      </c>
      <c r="D22" s="10" t="s">
        <v>2956</v>
      </c>
      <c r="E22" s="10" t="n">
        <v>0</v>
      </c>
      <c r="F22" s="10"/>
      <c r="G22" s="10" t="s">
        <v>2989</v>
      </c>
    </row>
    <row r="23" customFormat="false" ht="15" hidden="false" customHeight="false" outlineLevel="0" collapsed="false">
      <c r="A23" s="10" t="s">
        <v>2990</v>
      </c>
      <c r="B23" s="10" t="s">
        <v>2991</v>
      </c>
      <c r="C23" s="10" t="s">
        <v>2992</v>
      </c>
      <c r="D23" s="10" t="s">
        <v>2956</v>
      </c>
      <c r="E23" s="10" t="n">
        <v>0</v>
      </c>
      <c r="F23" s="10"/>
      <c r="G23" s="10" t="s">
        <v>2993</v>
      </c>
    </row>
    <row r="24" customFormat="false" ht="15" hidden="false" customHeight="false" outlineLevel="0" collapsed="false">
      <c r="A24" s="10" t="s">
        <v>2994</v>
      </c>
      <c r="B24" s="10" t="s">
        <v>2995</v>
      </c>
      <c r="C24" s="10" t="s">
        <v>2996</v>
      </c>
      <c r="D24" s="10" t="s">
        <v>2956</v>
      </c>
      <c r="E24" s="10" t="n">
        <v>0</v>
      </c>
      <c r="F24" s="10"/>
      <c r="G24" s="10" t="s">
        <v>2997</v>
      </c>
    </row>
    <row r="25" customFormat="false" ht="15" hidden="false" customHeight="false" outlineLevel="0" collapsed="false">
      <c r="A25" s="10" t="s">
        <v>2998</v>
      </c>
      <c r="B25" s="10" t="s">
        <v>2999</v>
      </c>
      <c r="C25" s="10" t="s">
        <v>3000</v>
      </c>
      <c r="D25" s="10" t="s">
        <v>2956</v>
      </c>
      <c r="E25" s="10" t="n">
        <v>0</v>
      </c>
      <c r="F25" s="10"/>
      <c r="G25" s="10" t="s">
        <v>3001</v>
      </c>
    </row>
    <row r="26" customFormat="false" ht="15" hidden="false" customHeight="false" outlineLevel="0" collapsed="false">
      <c r="A26" s="10" t="s">
        <v>3002</v>
      </c>
      <c r="B26" s="10" t="s">
        <v>3003</v>
      </c>
      <c r="C26" s="10" t="s">
        <v>3004</v>
      </c>
      <c r="D26" s="10" t="s">
        <v>2956</v>
      </c>
      <c r="E26" s="10" t="n">
        <v>0</v>
      </c>
      <c r="F26" s="10"/>
      <c r="G26" s="10" t="s">
        <v>3005</v>
      </c>
    </row>
    <row r="27" customFormat="false" ht="15" hidden="false" customHeight="false" outlineLevel="0" collapsed="false">
      <c r="A27" s="10" t="s">
        <v>3006</v>
      </c>
      <c r="B27" s="10" t="s">
        <v>3007</v>
      </c>
      <c r="C27" s="10" t="s">
        <v>3008</v>
      </c>
      <c r="D27" s="10" t="s">
        <v>2956</v>
      </c>
      <c r="E27" s="10" t="n">
        <v>0</v>
      </c>
      <c r="F27" s="10"/>
      <c r="G27" s="10" t="s">
        <v>3009</v>
      </c>
    </row>
    <row r="28" customFormat="false" ht="15" hidden="false" customHeight="false" outlineLevel="0" collapsed="false">
      <c r="A28" s="10" t="s">
        <v>3010</v>
      </c>
      <c r="B28" s="10" t="s">
        <v>3011</v>
      </c>
      <c r="C28" s="10" t="s">
        <v>3012</v>
      </c>
      <c r="D28" s="10" t="s">
        <v>2956</v>
      </c>
      <c r="E28" s="10" t="n">
        <v>0</v>
      </c>
      <c r="F28" s="10"/>
      <c r="G28" s="10" t="s">
        <v>3013</v>
      </c>
    </row>
    <row r="29" customFormat="false" ht="15" hidden="false" customHeight="false" outlineLevel="0" collapsed="false">
      <c r="A29" s="10" t="s">
        <v>3014</v>
      </c>
      <c r="B29" s="10" t="s">
        <v>3015</v>
      </c>
      <c r="C29" s="10" t="s">
        <v>3016</v>
      </c>
      <c r="D29" s="10" t="s">
        <v>2956</v>
      </c>
      <c r="E29" s="10" t="n">
        <v>0</v>
      </c>
      <c r="F29" s="10"/>
      <c r="G29" s="10" t="s">
        <v>3017</v>
      </c>
    </row>
    <row r="30" customFormat="false" ht="15" hidden="false" customHeight="false" outlineLevel="0" collapsed="false">
      <c r="A30" s="10" t="s">
        <v>3018</v>
      </c>
      <c r="B30" s="10" t="s">
        <v>3019</v>
      </c>
      <c r="C30" s="10" t="s">
        <v>3020</v>
      </c>
      <c r="D30" s="10" t="s">
        <v>2956</v>
      </c>
      <c r="E30" s="10" t="n">
        <v>0</v>
      </c>
      <c r="F30" s="10"/>
      <c r="G30" s="10" t="s">
        <v>3021</v>
      </c>
    </row>
    <row r="31" customFormat="false" ht="15" hidden="false" customHeight="false" outlineLevel="0" collapsed="false">
      <c r="A31" s="10" t="s">
        <v>3022</v>
      </c>
      <c r="B31" s="10" t="s">
        <v>3023</v>
      </c>
      <c r="C31" s="10" t="s">
        <v>3024</v>
      </c>
      <c r="D31" s="10" t="s">
        <v>2956</v>
      </c>
      <c r="E31" s="10" t="n">
        <v>0</v>
      </c>
      <c r="F31" s="10"/>
      <c r="G31" s="10" t="s">
        <v>3025</v>
      </c>
    </row>
    <row r="32" customFormat="false" ht="15" hidden="false" customHeight="false" outlineLevel="0" collapsed="false">
      <c r="A32" s="10" t="s">
        <v>3026</v>
      </c>
      <c r="B32" s="10" t="s">
        <v>3027</v>
      </c>
      <c r="C32" s="10" t="s">
        <v>3028</v>
      </c>
      <c r="D32" s="10" t="s">
        <v>2956</v>
      </c>
      <c r="E32" s="10" t="n">
        <v>0</v>
      </c>
      <c r="F32" s="10"/>
      <c r="G32" s="10" t="s">
        <v>3029</v>
      </c>
    </row>
    <row r="33" customFormat="false" ht="15" hidden="false" customHeight="false" outlineLevel="0" collapsed="false">
      <c r="A33" s="10" t="s">
        <v>3030</v>
      </c>
      <c r="B33" s="10" t="s">
        <v>3031</v>
      </c>
      <c r="C33" s="10" t="s">
        <v>3032</v>
      </c>
      <c r="D33" s="10" t="s">
        <v>2956</v>
      </c>
      <c r="E33" s="10" t="n">
        <v>0</v>
      </c>
      <c r="F33" s="10"/>
      <c r="G33" s="10" t="s">
        <v>3033</v>
      </c>
    </row>
    <row r="34" customFormat="false" ht="15" hidden="false" customHeight="false" outlineLevel="0" collapsed="false">
      <c r="A34" s="10" t="s">
        <v>3034</v>
      </c>
      <c r="B34" s="10" t="s">
        <v>3035</v>
      </c>
      <c r="C34" s="10" t="s">
        <v>3036</v>
      </c>
      <c r="D34" s="10" t="s">
        <v>2956</v>
      </c>
      <c r="E34" s="10" t="n">
        <v>0</v>
      </c>
      <c r="F34" s="10"/>
      <c r="G34" s="10" t="s">
        <v>3037</v>
      </c>
    </row>
    <row r="35" customFormat="false" ht="15" hidden="false" customHeight="false" outlineLevel="0" collapsed="false">
      <c r="A35" s="10" t="s">
        <v>3038</v>
      </c>
      <c r="B35" s="10" t="s">
        <v>3039</v>
      </c>
      <c r="C35" s="10" t="s">
        <v>3040</v>
      </c>
      <c r="D35" s="10" t="s">
        <v>2956</v>
      </c>
      <c r="E35" s="10" t="n">
        <v>0</v>
      </c>
      <c r="F35" s="10"/>
      <c r="G35" s="10" t="s">
        <v>3041</v>
      </c>
    </row>
    <row r="36" customFormat="false" ht="15" hidden="false" customHeight="false" outlineLevel="0" collapsed="false">
      <c r="A36" s="10" t="s">
        <v>3042</v>
      </c>
      <c r="B36" s="10" t="s">
        <v>3043</v>
      </c>
      <c r="C36" s="10" t="s">
        <v>3044</v>
      </c>
      <c r="D36" s="10" t="s">
        <v>2956</v>
      </c>
      <c r="E36" s="10" t="n">
        <v>0</v>
      </c>
      <c r="F36" s="10"/>
      <c r="G36" s="10" t="s">
        <v>3045</v>
      </c>
    </row>
    <row r="37" customFormat="false" ht="15" hidden="false" customHeight="false" outlineLevel="0" collapsed="false">
      <c r="A37" s="10" t="s">
        <v>3046</v>
      </c>
      <c r="B37" s="10" t="s">
        <v>3047</v>
      </c>
      <c r="C37" s="10" t="s">
        <v>3048</v>
      </c>
      <c r="D37" s="10" t="s">
        <v>2956</v>
      </c>
      <c r="E37" s="10" t="n">
        <v>0</v>
      </c>
      <c r="F37" s="10"/>
      <c r="G37" s="10" t="s">
        <v>3049</v>
      </c>
    </row>
    <row r="38" customFormat="false" ht="15" hidden="false" customHeight="false" outlineLevel="0" collapsed="false">
      <c r="A38" s="10" t="s">
        <v>3050</v>
      </c>
      <c r="B38" s="10" t="s">
        <v>3051</v>
      </c>
      <c r="C38" s="10" t="s">
        <v>3052</v>
      </c>
      <c r="D38" s="10" t="s">
        <v>2956</v>
      </c>
      <c r="E38" s="10" t="n">
        <v>0</v>
      </c>
      <c r="F38" s="10"/>
      <c r="G38" s="10" t="s">
        <v>3053</v>
      </c>
    </row>
    <row r="39" customFormat="false" ht="15" hidden="false" customHeight="false" outlineLevel="0" collapsed="false">
      <c r="A39" s="10" t="s">
        <v>3054</v>
      </c>
      <c r="B39" s="10" t="s">
        <v>3055</v>
      </c>
      <c r="C39" s="10" t="s">
        <v>3056</v>
      </c>
      <c r="D39" s="10" t="s">
        <v>2956</v>
      </c>
      <c r="E39" s="10" t="n">
        <v>0</v>
      </c>
      <c r="F39" s="10"/>
      <c r="G39" s="10" t="s">
        <v>3057</v>
      </c>
    </row>
    <row r="40" customFormat="false" ht="15" hidden="false" customHeight="false" outlineLevel="0" collapsed="false">
      <c r="A40" s="10" t="s">
        <v>3058</v>
      </c>
      <c r="B40" s="10" t="s">
        <v>3059</v>
      </c>
      <c r="C40" s="10" t="s">
        <v>3060</v>
      </c>
      <c r="D40" s="10" t="s">
        <v>2956</v>
      </c>
      <c r="E40" s="10" t="n">
        <v>0</v>
      </c>
      <c r="F40" s="10"/>
      <c r="G40" s="10" t="s">
        <v>3061</v>
      </c>
    </row>
    <row r="41" customFormat="false" ht="15" hidden="false" customHeight="false" outlineLevel="0" collapsed="false">
      <c r="A41" s="10" t="s">
        <v>3062</v>
      </c>
      <c r="B41" s="10" t="s">
        <v>3063</v>
      </c>
      <c r="C41" s="10" t="s">
        <v>3064</v>
      </c>
      <c r="D41" s="10" t="s">
        <v>2956</v>
      </c>
      <c r="E41" s="10" t="n">
        <v>0</v>
      </c>
      <c r="F41" s="10"/>
      <c r="G41" s="10" t="s">
        <v>3065</v>
      </c>
    </row>
    <row r="42" customFormat="false" ht="15" hidden="false" customHeight="false" outlineLevel="0" collapsed="false">
      <c r="A42" s="10" t="s">
        <v>3066</v>
      </c>
      <c r="B42" s="10" t="s">
        <v>3067</v>
      </c>
      <c r="C42" s="10" t="s">
        <v>3068</v>
      </c>
      <c r="D42" s="10" t="s">
        <v>2956</v>
      </c>
      <c r="E42" s="10" t="n">
        <v>0</v>
      </c>
      <c r="F42" s="10"/>
      <c r="G42" s="10" t="s">
        <v>3069</v>
      </c>
    </row>
    <row r="43" customFormat="false" ht="15" hidden="false" customHeight="false" outlineLevel="0" collapsed="false">
      <c r="A43" s="10" t="s">
        <v>3070</v>
      </c>
      <c r="B43" s="10" t="s">
        <v>3071</v>
      </c>
      <c r="C43" s="10" t="s">
        <v>3072</v>
      </c>
      <c r="D43" s="10" t="s">
        <v>2956</v>
      </c>
      <c r="E43" s="10" t="n">
        <v>0</v>
      </c>
      <c r="F43" s="10"/>
      <c r="G43" s="10" t="s">
        <v>3073</v>
      </c>
    </row>
    <row r="44" customFormat="false" ht="15" hidden="false" customHeight="false" outlineLevel="0" collapsed="false">
      <c r="A44" s="10" t="s">
        <v>3074</v>
      </c>
      <c r="B44" s="10" t="s">
        <v>3075</v>
      </c>
      <c r="C44" s="10" t="s">
        <v>3076</v>
      </c>
      <c r="D44" s="10" t="s">
        <v>2956</v>
      </c>
      <c r="E44" s="10" t="n">
        <v>0</v>
      </c>
      <c r="F44" s="10"/>
      <c r="G44" s="10" t="s">
        <v>3077</v>
      </c>
    </row>
    <row r="45" customFormat="false" ht="15" hidden="false" customHeight="false" outlineLevel="0" collapsed="false">
      <c r="A45" s="10" t="s">
        <v>3078</v>
      </c>
      <c r="B45" s="10" t="s">
        <v>3079</v>
      </c>
      <c r="C45" s="10" t="s">
        <v>3080</v>
      </c>
      <c r="D45" s="10" t="s">
        <v>2956</v>
      </c>
      <c r="E45" s="10" t="n">
        <v>0</v>
      </c>
      <c r="F45" s="10"/>
      <c r="G45" s="10" t="s">
        <v>3081</v>
      </c>
    </row>
    <row r="46" customFormat="false" ht="15" hidden="false" customHeight="false" outlineLevel="0" collapsed="false">
      <c r="A46" s="10" t="s">
        <v>3082</v>
      </c>
      <c r="B46" s="10" t="s">
        <v>3083</v>
      </c>
      <c r="C46" s="10" t="s">
        <v>3084</v>
      </c>
      <c r="D46" s="10" t="s">
        <v>2956</v>
      </c>
      <c r="E46" s="10" t="n">
        <v>0</v>
      </c>
      <c r="F46" s="10"/>
      <c r="G46" s="10" t="s">
        <v>3085</v>
      </c>
    </row>
    <row r="47" customFormat="false" ht="15" hidden="false" customHeight="false" outlineLevel="0" collapsed="false">
      <c r="A47" s="10" t="s">
        <v>3086</v>
      </c>
      <c r="B47" s="10" t="s">
        <v>3087</v>
      </c>
      <c r="C47" s="10" t="s">
        <v>3088</v>
      </c>
      <c r="D47" s="10" t="s">
        <v>2956</v>
      </c>
      <c r="E47" s="10" t="n">
        <v>0</v>
      </c>
      <c r="F47" s="10"/>
      <c r="G47" s="10" t="s">
        <v>3089</v>
      </c>
    </row>
    <row r="48" customFormat="false" ht="15" hidden="false" customHeight="false" outlineLevel="0" collapsed="false">
      <c r="A48" s="10" t="s">
        <v>3090</v>
      </c>
      <c r="B48" s="10" t="s">
        <v>3091</v>
      </c>
      <c r="C48" s="10" t="s">
        <v>3092</v>
      </c>
      <c r="D48" s="10" t="s">
        <v>2956</v>
      </c>
      <c r="E48" s="10" t="n">
        <v>0</v>
      </c>
      <c r="F48" s="10"/>
      <c r="G48" s="10" t="s">
        <v>3093</v>
      </c>
    </row>
    <row r="49" customFormat="false" ht="15" hidden="false" customHeight="false" outlineLevel="0" collapsed="false">
      <c r="A49" s="10" t="s">
        <v>3094</v>
      </c>
      <c r="B49" s="10" t="s">
        <v>3095</v>
      </c>
      <c r="C49" s="10" t="s">
        <v>3096</v>
      </c>
      <c r="D49" s="10" t="s">
        <v>2956</v>
      </c>
      <c r="E49" s="10" t="n">
        <v>0</v>
      </c>
      <c r="F49" s="10"/>
      <c r="G49" s="10" t="s">
        <v>3097</v>
      </c>
    </row>
    <row r="50" customFormat="false" ht="15" hidden="false" customHeight="false" outlineLevel="0" collapsed="false">
      <c r="A50" s="10" t="s">
        <v>3098</v>
      </c>
      <c r="B50" s="10" t="s">
        <v>3099</v>
      </c>
      <c r="C50" s="10" t="s">
        <v>3100</v>
      </c>
      <c r="D50" s="10" t="s">
        <v>2956</v>
      </c>
      <c r="E50" s="10" t="n">
        <v>0</v>
      </c>
      <c r="F50" s="10"/>
      <c r="G50" s="10" t="s">
        <v>3101</v>
      </c>
    </row>
    <row r="51" customFormat="false" ht="15" hidden="false" customHeight="false" outlineLevel="0" collapsed="false">
      <c r="A51" s="10" t="s">
        <v>3102</v>
      </c>
      <c r="B51" s="10" t="s">
        <v>3103</v>
      </c>
      <c r="C51" s="10" t="s">
        <v>3104</v>
      </c>
      <c r="D51" s="10" t="s">
        <v>2956</v>
      </c>
      <c r="E51" s="10" t="n">
        <v>0</v>
      </c>
      <c r="F51" s="10"/>
      <c r="G51" s="10" t="s">
        <v>3105</v>
      </c>
    </row>
    <row r="52" customFormat="false" ht="15" hidden="false" customHeight="false" outlineLevel="0" collapsed="false">
      <c r="A52" s="10" t="s">
        <v>3106</v>
      </c>
      <c r="B52" s="10" t="s">
        <v>3107</v>
      </c>
      <c r="C52" s="10" t="s">
        <v>3108</v>
      </c>
      <c r="D52" s="10" t="s">
        <v>2956</v>
      </c>
      <c r="E52" s="10" t="n">
        <v>0</v>
      </c>
      <c r="F52" s="10"/>
      <c r="G52" s="10" t="s">
        <v>3109</v>
      </c>
    </row>
    <row r="53" customFormat="false" ht="15" hidden="false" customHeight="false" outlineLevel="0" collapsed="false">
      <c r="A53" s="10" t="s">
        <v>3110</v>
      </c>
      <c r="B53" s="10" t="s">
        <v>3111</v>
      </c>
      <c r="C53" s="10" t="s">
        <v>3112</v>
      </c>
      <c r="D53" s="10" t="s">
        <v>2956</v>
      </c>
      <c r="E53" s="10" t="n">
        <v>0</v>
      </c>
      <c r="F53" s="10"/>
      <c r="G53" s="10" t="s">
        <v>3113</v>
      </c>
    </row>
    <row r="54" customFormat="false" ht="15" hidden="false" customHeight="false" outlineLevel="0" collapsed="false">
      <c r="A54" s="10" t="s">
        <v>3114</v>
      </c>
      <c r="B54" s="10" t="s">
        <v>3115</v>
      </c>
      <c r="C54" s="10" t="s">
        <v>3116</v>
      </c>
      <c r="D54" s="10" t="s">
        <v>2956</v>
      </c>
      <c r="E54" s="10" t="n">
        <v>0</v>
      </c>
      <c r="F54" s="10"/>
      <c r="G54" s="10" t="s">
        <v>3117</v>
      </c>
    </row>
    <row r="55" customFormat="false" ht="15" hidden="false" customHeight="false" outlineLevel="0" collapsed="false">
      <c r="A55" s="10" t="s">
        <v>3118</v>
      </c>
      <c r="B55" s="10" t="s">
        <v>3119</v>
      </c>
      <c r="C55" s="10" t="s">
        <v>3120</v>
      </c>
      <c r="D55" s="10" t="s">
        <v>2956</v>
      </c>
      <c r="E55" s="10" t="n">
        <v>0</v>
      </c>
      <c r="F55" s="10"/>
      <c r="G55" s="10" t="s">
        <v>3121</v>
      </c>
    </row>
    <row r="56" customFormat="false" ht="15" hidden="false" customHeight="false" outlineLevel="0" collapsed="false">
      <c r="A56" s="10" t="s">
        <v>3122</v>
      </c>
      <c r="B56" s="10" t="s">
        <v>3123</v>
      </c>
      <c r="C56" s="10" t="s">
        <v>3124</v>
      </c>
      <c r="D56" s="10" t="s">
        <v>2956</v>
      </c>
      <c r="E56" s="10" t="n">
        <v>0</v>
      </c>
      <c r="F56" s="10"/>
      <c r="G56" s="10" t="s">
        <v>3125</v>
      </c>
    </row>
    <row r="57" customFormat="false" ht="15" hidden="false" customHeight="false" outlineLevel="0" collapsed="false">
      <c r="A57" s="10" t="s">
        <v>3126</v>
      </c>
      <c r="B57" s="10" t="s">
        <v>3127</v>
      </c>
      <c r="C57" s="10" t="s">
        <v>3128</v>
      </c>
      <c r="D57" s="10" t="s">
        <v>2956</v>
      </c>
      <c r="E57" s="10" t="n">
        <v>0</v>
      </c>
      <c r="F57" s="10"/>
      <c r="G57" s="10" t="s">
        <v>3129</v>
      </c>
    </row>
    <row r="58" customFormat="false" ht="15" hidden="false" customHeight="false" outlineLevel="0" collapsed="false">
      <c r="A58" s="10" t="s">
        <v>3130</v>
      </c>
      <c r="B58" s="10" t="s">
        <v>3131</v>
      </c>
      <c r="C58" s="10" t="s">
        <v>3132</v>
      </c>
      <c r="D58" s="10" t="s">
        <v>2956</v>
      </c>
      <c r="E58" s="10" t="n">
        <v>0</v>
      </c>
      <c r="F58" s="10"/>
      <c r="G58" s="10" t="s">
        <v>3133</v>
      </c>
    </row>
    <row r="59" customFormat="false" ht="15" hidden="false" customHeight="false" outlineLevel="0" collapsed="false">
      <c r="A59" s="10" t="s">
        <v>3134</v>
      </c>
      <c r="B59" s="10" t="s">
        <v>3135</v>
      </c>
      <c r="C59" s="10" t="s">
        <v>3136</v>
      </c>
      <c r="D59" s="10" t="s">
        <v>2956</v>
      </c>
      <c r="E59" s="10" t="n">
        <v>0</v>
      </c>
      <c r="F59" s="10"/>
      <c r="G59" s="10" t="s">
        <v>3137</v>
      </c>
    </row>
    <row r="60" customFormat="false" ht="15" hidden="false" customHeight="false" outlineLevel="0" collapsed="false">
      <c r="A60" s="10" t="s">
        <v>3138</v>
      </c>
      <c r="B60" s="10" t="s">
        <v>3139</v>
      </c>
      <c r="C60" s="10" t="s">
        <v>3140</v>
      </c>
      <c r="D60" s="10" t="s">
        <v>2956</v>
      </c>
      <c r="E60" s="10" t="n">
        <v>0</v>
      </c>
      <c r="F60" s="10"/>
      <c r="G60" s="10" t="s">
        <v>3141</v>
      </c>
    </row>
    <row r="61" customFormat="false" ht="15" hidden="false" customHeight="false" outlineLevel="0" collapsed="false">
      <c r="A61" s="10" t="s">
        <v>3142</v>
      </c>
      <c r="B61" s="10" t="s">
        <v>3143</v>
      </c>
      <c r="C61" s="10" t="s">
        <v>3144</v>
      </c>
      <c r="D61" s="10" t="s">
        <v>2956</v>
      </c>
      <c r="E61" s="10" t="n">
        <v>0</v>
      </c>
      <c r="F61" s="10"/>
      <c r="G61" s="10" t="s">
        <v>3145</v>
      </c>
    </row>
    <row r="62" customFormat="false" ht="15" hidden="false" customHeight="false" outlineLevel="0" collapsed="false">
      <c r="A62" s="10" t="s">
        <v>3146</v>
      </c>
      <c r="B62" s="10" t="s">
        <v>3147</v>
      </c>
      <c r="C62" s="10" t="s">
        <v>3148</v>
      </c>
      <c r="D62" s="10" t="s">
        <v>2956</v>
      </c>
      <c r="E62" s="10" t="n">
        <v>0</v>
      </c>
      <c r="F62" s="10"/>
      <c r="G62" s="10" t="s">
        <v>3149</v>
      </c>
    </row>
    <row r="63" customFormat="false" ht="15" hidden="false" customHeight="false" outlineLevel="0" collapsed="false">
      <c r="A63" s="10" t="s">
        <v>3150</v>
      </c>
      <c r="B63" s="10" t="s">
        <v>3151</v>
      </c>
      <c r="C63" s="10" t="s">
        <v>3152</v>
      </c>
      <c r="D63" s="10" t="s">
        <v>2956</v>
      </c>
      <c r="E63" s="10" t="n">
        <v>0</v>
      </c>
      <c r="F63" s="10"/>
      <c r="G63" s="10" t="s">
        <v>3153</v>
      </c>
    </row>
    <row r="64" customFormat="false" ht="15" hidden="false" customHeight="false" outlineLevel="0" collapsed="false">
      <c r="A64" s="10" t="s">
        <v>3154</v>
      </c>
      <c r="B64" s="10" t="s">
        <v>3155</v>
      </c>
      <c r="C64" s="10" t="s">
        <v>3156</v>
      </c>
      <c r="D64" s="10" t="s">
        <v>2956</v>
      </c>
      <c r="E64" s="10" t="n">
        <v>0</v>
      </c>
      <c r="F64" s="10"/>
      <c r="G64" s="10" t="s">
        <v>3157</v>
      </c>
    </row>
    <row r="65" customFormat="false" ht="15" hidden="false" customHeight="false" outlineLevel="0" collapsed="false">
      <c r="A65" s="10" t="s">
        <v>3158</v>
      </c>
      <c r="B65" s="10" t="s">
        <v>3159</v>
      </c>
      <c r="C65" s="10" t="s">
        <v>3160</v>
      </c>
      <c r="D65" s="10" t="s">
        <v>2956</v>
      </c>
      <c r="E65" s="10" t="n">
        <v>0</v>
      </c>
      <c r="F65" s="10"/>
      <c r="G65" s="10" t="s">
        <v>3161</v>
      </c>
    </row>
    <row r="66" customFormat="false" ht="15" hidden="false" customHeight="false" outlineLevel="0" collapsed="false">
      <c r="A66" s="10" t="s">
        <v>3162</v>
      </c>
      <c r="B66" s="10" t="s">
        <v>3163</v>
      </c>
      <c r="C66" s="10" t="s">
        <v>3164</v>
      </c>
      <c r="D66" s="10" t="s">
        <v>2956</v>
      </c>
      <c r="E66" s="10" t="n">
        <v>0</v>
      </c>
      <c r="F66" s="10"/>
      <c r="G66" s="10" t="s">
        <v>3165</v>
      </c>
    </row>
    <row r="67" customFormat="false" ht="15" hidden="false" customHeight="false" outlineLevel="0" collapsed="false">
      <c r="A67" s="10" t="s">
        <v>3166</v>
      </c>
      <c r="B67" s="10" t="s">
        <v>3167</v>
      </c>
      <c r="C67" s="10" t="s">
        <v>3168</v>
      </c>
      <c r="D67" s="10" t="s">
        <v>2956</v>
      </c>
      <c r="E67" s="10" t="n">
        <v>0</v>
      </c>
      <c r="F67" s="10"/>
      <c r="G67" s="10" t="s">
        <v>3169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3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8" t="s">
        <v>64</v>
      </c>
      <c r="B1" s="18" t="s">
        <v>3170</v>
      </c>
      <c r="C1" s="18" t="s">
        <v>65</v>
      </c>
      <c r="D1" s="18" t="s">
        <v>3171</v>
      </c>
      <c r="E1" s="18" t="s">
        <v>385</v>
      </c>
    </row>
    <row r="2" customFormat="false" ht="15" hidden="false" customHeight="false" outlineLevel="0" collapsed="false">
      <c r="A2" s="10" t="s">
        <v>3172</v>
      </c>
      <c r="B2" s="10" t="s">
        <v>3173</v>
      </c>
      <c r="C2" s="10" t="s">
        <v>3174</v>
      </c>
      <c r="D2" s="10" t="s">
        <v>3175</v>
      </c>
      <c r="E2" s="10"/>
    </row>
    <row r="3" customFormat="false" ht="15" hidden="false" customHeight="false" outlineLevel="0" collapsed="false">
      <c r="A3" s="10" t="s">
        <v>3176</v>
      </c>
      <c r="B3" s="10" t="s">
        <v>3177</v>
      </c>
      <c r="C3" s="10" t="s">
        <v>3178</v>
      </c>
      <c r="D3" s="10" t="s">
        <v>3179</v>
      </c>
      <c r="E3" s="10" t="s">
        <v>354</v>
      </c>
    </row>
    <row r="4" customFormat="false" ht="15" hidden="false" customHeight="false" outlineLevel="0" collapsed="false">
      <c r="A4" s="10" t="s">
        <v>3180</v>
      </c>
      <c r="B4" s="10" t="s">
        <v>3181</v>
      </c>
      <c r="C4" s="10" t="s">
        <v>3182</v>
      </c>
      <c r="D4" s="10" t="s">
        <v>3183</v>
      </c>
      <c r="E4" s="10" t="s">
        <v>345</v>
      </c>
    </row>
    <row r="5" customFormat="false" ht="15" hidden="false" customHeight="false" outlineLevel="0" collapsed="false">
      <c r="A5" s="10" t="s">
        <v>3184</v>
      </c>
      <c r="B5" s="10" t="s">
        <v>3185</v>
      </c>
      <c r="C5" s="10" t="s">
        <v>3186</v>
      </c>
      <c r="D5" s="10" t="s">
        <v>3187</v>
      </c>
      <c r="E5" s="10"/>
    </row>
    <row r="6" customFormat="false" ht="15" hidden="false" customHeight="false" outlineLevel="0" collapsed="false">
      <c r="A6" s="10" t="s">
        <v>3188</v>
      </c>
      <c r="B6" s="10" t="s">
        <v>3189</v>
      </c>
      <c r="C6" s="10" t="s">
        <v>3190</v>
      </c>
      <c r="D6" s="10" t="s">
        <v>3191</v>
      </c>
      <c r="E6" s="10"/>
    </row>
    <row r="7" customFormat="false" ht="15" hidden="false" customHeight="false" outlineLevel="0" collapsed="false">
      <c r="A7" s="10" t="s">
        <v>3192</v>
      </c>
      <c r="B7" s="10" t="s">
        <v>3193</v>
      </c>
      <c r="C7" s="10" t="s">
        <v>3194</v>
      </c>
      <c r="D7" s="10" t="s">
        <v>3195</v>
      </c>
      <c r="E7" s="10"/>
    </row>
    <row r="8" customFormat="false" ht="15" hidden="false" customHeight="false" outlineLevel="0" collapsed="false">
      <c r="A8" s="10" t="s">
        <v>3196</v>
      </c>
      <c r="B8" s="10" t="s">
        <v>3197</v>
      </c>
      <c r="C8" s="10" t="s">
        <v>3198</v>
      </c>
      <c r="D8" s="10" t="s">
        <v>3199</v>
      </c>
      <c r="E8" s="10" t="s">
        <v>354</v>
      </c>
    </row>
    <row r="9" customFormat="false" ht="15" hidden="false" customHeight="false" outlineLevel="0" collapsed="false">
      <c r="A9" s="10" t="s">
        <v>3200</v>
      </c>
      <c r="B9" s="10" t="s">
        <v>3201</v>
      </c>
      <c r="C9" s="10" t="s">
        <v>3202</v>
      </c>
      <c r="D9" s="10" t="s">
        <v>3203</v>
      </c>
      <c r="E9" s="10"/>
    </row>
    <row r="10" customFormat="false" ht="15" hidden="false" customHeight="false" outlineLevel="0" collapsed="false">
      <c r="A10" s="10" t="s">
        <v>3204</v>
      </c>
      <c r="B10" s="10" t="s">
        <v>3205</v>
      </c>
      <c r="C10" s="10" t="s">
        <v>3206</v>
      </c>
      <c r="D10" s="10" t="s">
        <v>3207</v>
      </c>
      <c r="E10" s="10"/>
    </row>
    <row r="11" customFormat="false" ht="15" hidden="false" customHeight="false" outlineLevel="0" collapsed="false">
      <c r="A11" s="10" t="s">
        <v>3208</v>
      </c>
      <c r="B11" s="10" t="s">
        <v>3209</v>
      </c>
      <c r="C11" s="10" t="s">
        <v>3210</v>
      </c>
      <c r="D11" s="10" t="s">
        <v>3211</v>
      </c>
      <c r="E11" s="10" t="s">
        <v>3212</v>
      </c>
    </row>
    <row r="12" customFormat="false" ht="15" hidden="false" customHeight="false" outlineLevel="0" collapsed="false">
      <c r="A12" s="10" t="s">
        <v>3213</v>
      </c>
      <c r="B12" s="10" t="s">
        <v>3214</v>
      </c>
      <c r="C12" s="10" t="s">
        <v>3214</v>
      </c>
      <c r="D12" s="10" t="s">
        <v>3215</v>
      </c>
      <c r="E12" s="10"/>
    </row>
    <row r="13" customFormat="false" ht="15" hidden="false" customHeight="false" outlineLevel="0" collapsed="false">
      <c r="A13" s="10" t="s">
        <v>3216</v>
      </c>
      <c r="B13" s="10" t="s">
        <v>3217</v>
      </c>
      <c r="C13" s="10" t="s">
        <v>3218</v>
      </c>
      <c r="D13" s="10" t="s">
        <v>3219</v>
      </c>
      <c r="E13" s="10" t="s">
        <v>325</v>
      </c>
    </row>
    <row r="14" customFormat="false" ht="15" hidden="false" customHeight="false" outlineLevel="0" collapsed="false">
      <c r="A14" s="10" t="s">
        <v>3220</v>
      </c>
      <c r="B14" s="10" t="s">
        <v>3221</v>
      </c>
      <c r="C14" s="10" t="s">
        <v>3222</v>
      </c>
      <c r="D14" s="10" t="s">
        <v>3223</v>
      </c>
      <c r="E14" s="10" t="s">
        <v>345</v>
      </c>
    </row>
    <row r="15" customFormat="false" ht="15" hidden="false" customHeight="false" outlineLevel="0" collapsed="false">
      <c r="A15" s="10" t="s">
        <v>3224</v>
      </c>
      <c r="B15" s="10" t="s">
        <v>3225</v>
      </c>
      <c r="C15" s="10" t="s">
        <v>3226</v>
      </c>
      <c r="D15" s="10" t="s">
        <v>3227</v>
      </c>
      <c r="E15" s="10"/>
    </row>
    <row r="16" customFormat="false" ht="15" hidden="false" customHeight="false" outlineLevel="0" collapsed="false">
      <c r="A16" s="10" t="s">
        <v>3228</v>
      </c>
      <c r="B16" s="10" t="s">
        <v>3229</v>
      </c>
      <c r="C16" s="10" t="s">
        <v>3230</v>
      </c>
      <c r="D16" s="10" t="s">
        <v>3231</v>
      </c>
      <c r="E16" s="10" t="s">
        <v>359</v>
      </c>
    </row>
    <row r="17" customFormat="false" ht="15" hidden="false" customHeight="false" outlineLevel="0" collapsed="false">
      <c r="A17" s="10" t="s">
        <v>3232</v>
      </c>
      <c r="B17" s="10" t="s">
        <v>3233</v>
      </c>
      <c r="C17" s="10" t="s">
        <v>3234</v>
      </c>
      <c r="D17" s="10" t="s">
        <v>3235</v>
      </c>
      <c r="E17" s="10" t="s">
        <v>123</v>
      </c>
    </row>
    <row r="18" customFormat="false" ht="15" hidden="false" customHeight="false" outlineLevel="0" collapsed="false">
      <c r="A18" s="10" t="s">
        <v>3236</v>
      </c>
      <c r="B18" s="10" t="s">
        <v>3237</v>
      </c>
      <c r="C18" s="10" t="s">
        <v>3238</v>
      </c>
      <c r="D18" s="10" t="s">
        <v>3239</v>
      </c>
      <c r="E18" s="10"/>
    </row>
    <row r="19" customFormat="false" ht="15" hidden="false" customHeight="false" outlineLevel="0" collapsed="false">
      <c r="A19" s="10" t="s">
        <v>3240</v>
      </c>
      <c r="B19" s="10" t="s">
        <v>3241</v>
      </c>
      <c r="C19" s="10" t="s">
        <v>3242</v>
      </c>
      <c r="D19" s="10" t="s">
        <v>3243</v>
      </c>
      <c r="E19" s="10"/>
    </row>
    <row r="20" customFormat="false" ht="15" hidden="false" customHeight="false" outlineLevel="0" collapsed="false">
      <c r="A20" s="10" t="s">
        <v>3244</v>
      </c>
      <c r="B20" s="10" t="s">
        <v>3245</v>
      </c>
      <c r="C20" s="10" t="s">
        <v>3246</v>
      </c>
      <c r="D20" s="10" t="s">
        <v>3247</v>
      </c>
      <c r="E20" s="10" t="s">
        <v>220</v>
      </c>
    </row>
    <row r="21" customFormat="false" ht="15" hidden="false" customHeight="false" outlineLevel="0" collapsed="false">
      <c r="A21" s="10" t="s">
        <v>3248</v>
      </c>
      <c r="B21" s="10" t="s">
        <v>3249</v>
      </c>
      <c r="C21" s="10" t="s">
        <v>3250</v>
      </c>
      <c r="D21" s="10" t="s">
        <v>3251</v>
      </c>
      <c r="E21" s="10"/>
    </row>
    <row r="22" customFormat="false" ht="15" hidden="false" customHeight="false" outlineLevel="0" collapsed="false">
      <c r="A22" s="10" t="s">
        <v>3252</v>
      </c>
      <c r="B22" s="10" t="s">
        <v>3253</v>
      </c>
      <c r="C22" s="10" t="s">
        <v>3254</v>
      </c>
      <c r="D22" s="10" t="s">
        <v>3255</v>
      </c>
      <c r="E22" s="10"/>
    </row>
    <row r="23" customFormat="false" ht="15" hidden="false" customHeight="false" outlineLevel="0" collapsed="false">
      <c r="A23" s="10" t="s">
        <v>3256</v>
      </c>
      <c r="B23" s="10" t="s">
        <v>3257</v>
      </c>
      <c r="C23" s="10" t="s">
        <v>3258</v>
      </c>
      <c r="D23" s="10" t="s">
        <v>3259</v>
      </c>
      <c r="E23" s="10" t="s">
        <v>265</v>
      </c>
    </row>
    <row r="24" customFormat="false" ht="15" hidden="false" customHeight="false" outlineLevel="0" collapsed="false">
      <c r="A24" s="10" t="s">
        <v>3260</v>
      </c>
      <c r="B24" s="10" t="s">
        <v>3261</v>
      </c>
      <c r="C24" s="10" t="s">
        <v>3262</v>
      </c>
      <c r="D24" s="10" t="s">
        <v>3263</v>
      </c>
      <c r="E24" s="10" t="s">
        <v>265</v>
      </c>
    </row>
    <row r="25" customFormat="false" ht="15" hidden="false" customHeight="false" outlineLevel="0" collapsed="false">
      <c r="A25" s="10" t="s">
        <v>3264</v>
      </c>
      <c r="B25" s="10" t="s">
        <v>3265</v>
      </c>
      <c r="C25" s="10" t="s">
        <v>3266</v>
      </c>
      <c r="D25" s="10" t="s">
        <v>3267</v>
      </c>
      <c r="E25" s="10"/>
    </row>
    <row r="26" customFormat="false" ht="15" hidden="false" customHeight="false" outlineLevel="0" collapsed="false">
      <c r="A26" s="10" t="s">
        <v>3268</v>
      </c>
      <c r="B26" s="10" t="s">
        <v>3269</v>
      </c>
      <c r="C26" s="10" t="s">
        <v>3270</v>
      </c>
      <c r="D26" s="10" t="s">
        <v>3271</v>
      </c>
      <c r="E26" s="10" t="s">
        <v>3272</v>
      </c>
    </row>
    <row r="27" customFormat="false" ht="15" hidden="false" customHeight="false" outlineLevel="0" collapsed="false">
      <c r="A27" s="10" t="s">
        <v>3273</v>
      </c>
      <c r="B27" s="10" t="s">
        <v>3274</v>
      </c>
      <c r="C27" s="10" t="s">
        <v>3275</v>
      </c>
      <c r="D27" s="10" t="s">
        <v>3276</v>
      </c>
      <c r="E27" s="10"/>
    </row>
    <row r="28" customFormat="false" ht="15" hidden="false" customHeight="false" outlineLevel="0" collapsed="false">
      <c r="A28" s="10" t="s">
        <v>3277</v>
      </c>
      <c r="B28" s="10" t="s">
        <v>3278</v>
      </c>
      <c r="C28" s="10" t="s">
        <v>3279</v>
      </c>
      <c r="D28" s="10"/>
      <c r="E28" s="10" t="s">
        <v>173</v>
      </c>
    </row>
    <row r="29" customFormat="false" ht="15" hidden="false" customHeight="false" outlineLevel="0" collapsed="false">
      <c r="A29" s="10" t="s">
        <v>3280</v>
      </c>
      <c r="B29" s="10" t="s">
        <v>3281</v>
      </c>
      <c r="C29" s="10" t="s">
        <v>3282</v>
      </c>
      <c r="D29" s="10" t="s">
        <v>3283</v>
      </c>
      <c r="E29" s="10" t="s">
        <v>325</v>
      </c>
    </row>
    <row r="30" customFormat="false" ht="15" hidden="false" customHeight="false" outlineLevel="0" collapsed="false">
      <c r="A30" s="10" t="s">
        <v>3284</v>
      </c>
      <c r="B30" s="10" t="s">
        <v>3285</v>
      </c>
      <c r="C30" s="10" t="s">
        <v>3286</v>
      </c>
      <c r="D30" s="10" t="s">
        <v>3287</v>
      </c>
      <c r="E30" s="10" t="s">
        <v>3288</v>
      </c>
    </row>
    <row r="31" customFormat="false" ht="15" hidden="false" customHeight="false" outlineLevel="0" collapsed="false">
      <c r="A31" s="10" t="s">
        <v>3289</v>
      </c>
      <c r="B31" s="10" t="s">
        <v>3290</v>
      </c>
      <c r="C31" s="10" t="s">
        <v>3291</v>
      </c>
      <c r="D31" s="10" t="s">
        <v>3292</v>
      </c>
      <c r="E31" s="10"/>
    </row>
    <row r="32" customFormat="false" ht="15" hidden="false" customHeight="false" outlineLevel="0" collapsed="false">
      <c r="A32" s="10" t="s">
        <v>3293</v>
      </c>
      <c r="B32" s="10" t="s">
        <v>3294</v>
      </c>
      <c r="C32" s="10" t="s">
        <v>3295</v>
      </c>
      <c r="D32" s="10" t="s">
        <v>3296</v>
      </c>
      <c r="E32" s="10"/>
    </row>
    <row r="33" customFormat="false" ht="15" hidden="false" customHeight="false" outlineLevel="0" collapsed="false">
      <c r="A33" s="10" t="s">
        <v>3297</v>
      </c>
      <c r="B33" s="10" t="s">
        <v>3298</v>
      </c>
      <c r="C33" s="10" t="s">
        <v>3299</v>
      </c>
      <c r="D33" s="10"/>
      <c r="E33" s="10" t="s">
        <v>226</v>
      </c>
    </row>
    <row r="34" customFormat="false" ht="15" hidden="false" customHeight="false" outlineLevel="0" collapsed="false">
      <c r="A34" s="10" t="s">
        <v>3300</v>
      </c>
      <c r="B34" s="10" t="s">
        <v>3301</v>
      </c>
      <c r="C34" s="10" t="s">
        <v>3302</v>
      </c>
      <c r="D34" s="10" t="s">
        <v>3303</v>
      </c>
      <c r="E34" s="10" t="s">
        <v>3304</v>
      </c>
    </row>
    <row r="35" customFormat="false" ht="15" hidden="false" customHeight="false" outlineLevel="0" collapsed="false">
      <c r="A35" s="10" t="s">
        <v>3305</v>
      </c>
      <c r="B35" s="10" t="s">
        <v>3306</v>
      </c>
      <c r="C35" s="10" t="s">
        <v>3307</v>
      </c>
      <c r="D35" s="10" t="s">
        <v>3308</v>
      </c>
      <c r="E35" s="10" t="s">
        <v>3309</v>
      </c>
    </row>
    <row r="36" customFormat="false" ht="15" hidden="false" customHeight="false" outlineLevel="0" collapsed="false">
      <c r="A36" s="10" t="s">
        <v>136</v>
      </c>
      <c r="B36" s="10" t="s">
        <v>3310</v>
      </c>
      <c r="C36" s="10" t="s">
        <v>3311</v>
      </c>
      <c r="D36" s="10" t="s">
        <v>137</v>
      </c>
      <c r="E36" s="10" t="s">
        <v>3312</v>
      </c>
    </row>
    <row r="37" customFormat="false" ht="15" hidden="false" customHeight="false" outlineLevel="0" collapsed="false">
      <c r="A37" s="10" t="s">
        <v>3313</v>
      </c>
      <c r="B37" s="10" t="s">
        <v>3314</v>
      </c>
      <c r="C37" s="10" t="s">
        <v>3314</v>
      </c>
      <c r="D37" s="10" t="s">
        <v>3315</v>
      </c>
      <c r="E37" s="10"/>
    </row>
    <row r="38" customFormat="false" ht="15" hidden="false" customHeight="false" outlineLevel="0" collapsed="false">
      <c r="A38" s="10" t="s">
        <v>3316</v>
      </c>
      <c r="B38" s="10" t="s">
        <v>3317</v>
      </c>
      <c r="C38" s="10" t="s">
        <v>3318</v>
      </c>
      <c r="D38" s="10" t="s">
        <v>3319</v>
      </c>
      <c r="E38" s="10" t="s">
        <v>291</v>
      </c>
    </row>
    <row r="39" customFormat="false" ht="15" hidden="false" customHeight="false" outlineLevel="0" collapsed="false">
      <c r="A39" s="10" t="s">
        <v>80</v>
      </c>
      <c r="B39" s="10" t="s">
        <v>3320</v>
      </c>
      <c r="C39" s="10" t="s">
        <v>3321</v>
      </c>
      <c r="D39" s="10" t="s">
        <v>81</v>
      </c>
      <c r="E39" s="10" t="s">
        <v>3322</v>
      </c>
    </row>
    <row r="40" customFormat="false" ht="15" hidden="false" customHeight="false" outlineLevel="0" collapsed="false">
      <c r="A40" s="10" t="s">
        <v>3323</v>
      </c>
      <c r="B40" s="10" t="s">
        <v>3324</v>
      </c>
      <c r="C40" s="10" t="s">
        <v>3324</v>
      </c>
      <c r="D40" s="10" t="s">
        <v>3325</v>
      </c>
      <c r="E40" s="10"/>
    </row>
    <row r="41" customFormat="false" ht="15" hidden="false" customHeight="false" outlineLevel="0" collapsed="false">
      <c r="A41" s="10" t="s">
        <v>3326</v>
      </c>
      <c r="B41" s="10" t="s">
        <v>3327</v>
      </c>
      <c r="C41" s="10" t="s">
        <v>3327</v>
      </c>
      <c r="D41" s="10" t="s">
        <v>3328</v>
      </c>
      <c r="E41" s="10"/>
    </row>
    <row r="42" customFormat="false" ht="15" hidden="false" customHeight="false" outlineLevel="0" collapsed="false">
      <c r="A42" s="10" t="s">
        <v>3329</v>
      </c>
      <c r="B42" s="10" t="s">
        <v>3330</v>
      </c>
      <c r="C42" s="10" t="s">
        <v>3330</v>
      </c>
      <c r="D42" s="10" t="s">
        <v>3331</v>
      </c>
      <c r="E42" s="10"/>
    </row>
    <row r="43" customFormat="false" ht="15" hidden="false" customHeight="false" outlineLevel="0" collapsed="false">
      <c r="A43" s="10" t="s">
        <v>3332</v>
      </c>
      <c r="B43" s="10" t="s">
        <v>3333</v>
      </c>
      <c r="C43" s="10" t="s">
        <v>3334</v>
      </c>
      <c r="D43" s="10" t="s">
        <v>3335</v>
      </c>
      <c r="E43" s="10" t="s">
        <v>3336</v>
      </c>
    </row>
    <row r="44" customFormat="false" ht="15" hidden="false" customHeight="false" outlineLevel="0" collapsed="false">
      <c r="A44" s="10" t="s">
        <v>3337</v>
      </c>
      <c r="B44" s="10" t="s">
        <v>3338</v>
      </c>
      <c r="C44" s="10" t="s">
        <v>3339</v>
      </c>
      <c r="D44" s="10" t="s">
        <v>3340</v>
      </c>
      <c r="E44" s="10"/>
    </row>
    <row r="45" customFormat="false" ht="15" hidden="false" customHeight="false" outlineLevel="0" collapsed="false">
      <c r="A45" s="10" t="s">
        <v>3341</v>
      </c>
      <c r="B45" s="10" t="s">
        <v>3342</v>
      </c>
      <c r="C45" s="10" t="s">
        <v>3342</v>
      </c>
      <c r="D45" s="10" t="s">
        <v>3343</v>
      </c>
      <c r="E45" s="10"/>
    </row>
    <row r="46" customFormat="false" ht="15" hidden="false" customHeight="false" outlineLevel="0" collapsed="false">
      <c r="A46" s="10" t="s">
        <v>3344</v>
      </c>
      <c r="B46" s="10" t="s">
        <v>3345</v>
      </c>
      <c r="C46" s="10" t="s">
        <v>3346</v>
      </c>
      <c r="D46" s="10" t="s">
        <v>3347</v>
      </c>
      <c r="E46" s="10"/>
    </row>
    <row r="47" customFormat="false" ht="15" hidden="false" customHeight="false" outlineLevel="0" collapsed="false">
      <c r="A47" s="10" t="s">
        <v>3348</v>
      </c>
      <c r="B47" s="10" t="s">
        <v>3349</v>
      </c>
      <c r="C47" s="10" t="s">
        <v>3350</v>
      </c>
      <c r="D47" s="10" t="s">
        <v>3335</v>
      </c>
      <c r="E47" s="10" t="s">
        <v>3351</v>
      </c>
    </row>
    <row r="48" customFormat="false" ht="15" hidden="false" customHeight="false" outlineLevel="0" collapsed="false">
      <c r="A48" s="10" t="s">
        <v>3352</v>
      </c>
      <c r="B48" s="10" t="s">
        <v>3353</v>
      </c>
      <c r="C48" s="10" t="s">
        <v>3354</v>
      </c>
      <c r="D48" s="10" t="s">
        <v>3355</v>
      </c>
      <c r="E48" s="10" t="s">
        <v>291</v>
      </c>
    </row>
    <row r="49" customFormat="false" ht="15" hidden="false" customHeight="false" outlineLevel="0" collapsed="false">
      <c r="A49" s="10" t="s">
        <v>3356</v>
      </c>
      <c r="B49" s="10" t="s">
        <v>3357</v>
      </c>
      <c r="C49" s="10" t="s">
        <v>3358</v>
      </c>
      <c r="D49" s="10" t="s">
        <v>3359</v>
      </c>
      <c r="E49" s="10" t="s">
        <v>3360</v>
      </c>
    </row>
    <row r="50" customFormat="false" ht="15" hidden="false" customHeight="false" outlineLevel="0" collapsed="false">
      <c r="A50" s="10" t="s">
        <v>3361</v>
      </c>
      <c r="B50" s="10" t="s">
        <v>3362</v>
      </c>
      <c r="C50" s="10" t="s">
        <v>3362</v>
      </c>
      <c r="D50" s="10" t="s">
        <v>3363</v>
      </c>
      <c r="E50" s="10"/>
    </row>
    <row r="51" customFormat="false" ht="15" hidden="false" customHeight="false" outlineLevel="0" collapsed="false">
      <c r="A51" s="10" t="s">
        <v>3364</v>
      </c>
      <c r="B51" s="10" t="s">
        <v>3365</v>
      </c>
      <c r="C51" s="10" t="s">
        <v>3366</v>
      </c>
      <c r="D51" s="10" t="s">
        <v>3367</v>
      </c>
      <c r="E51" s="10"/>
    </row>
    <row r="52" customFormat="false" ht="15" hidden="false" customHeight="false" outlineLevel="0" collapsed="false">
      <c r="A52" s="10" t="s">
        <v>289</v>
      </c>
      <c r="B52" s="10" t="s">
        <v>3368</v>
      </c>
      <c r="C52" s="10" t="s">
        <v>3369</v>
      </c>
      <c r="D52" s="10" t="s">
        <v>290</v>
      </c>
      <c r="E52" s="10" t="s">
        <v>286</v>
      </c>
    </row>
    <row r="53" customFormat="false" ht="15" hidden="false" customHeight="false" outlineLevel="0" collapsed="false">
      <c r="A53" s="10" t="s">
        <v>3370</v>
      </c>
      <c r="B53" s="10" t="s">
        <v>3371</v>
      </c>
      <c r="C53" s="10" t="s">
        <v>3372</v>
      </c>
      <c r="D53" s="10" t="s">
        <v>3373</v>
      </c>
      <c r="E53" s="10"/>
    </row>
    <row r="54" customFormat="false" ht="15" hidden="false" customHeight="false" outlineLevel="0" collapsed="false">
      <c r="A54" s="10" t="s">
        <v>113</v>
      </c>
      <c r="B54" s="10" t="s">
        <v>3374</v>
      </c>
      <c r="C54" s="10" t="s">
        <v>3375</v>
      </c>
      <c r="D54" s="10" t="s">
        <v>273</v>
      </c>
      <c r="E54" s="10" t="s">
        <v>3376</v>
      </c>
    </row>
    <row r="55" customFormat="false" ht="15" hidden="false" customHeight="false" outlineLevel="0" collapsed="false">
      <c r="A55" s="10" t="s">
        <v>3377</v>
      </c>
      <c r="B55" s="10" t="s">
        <v>3378</v>
      </c>
      <c r="C55" s="10" t="s">
        <v>3379</v>
      </c>
      <c r="D55" s="10" t="s">
        <v>3380</v>
      </c>
      <c r="E55" s="10" t="s">
        <v>3381</v>
      </c>
    </row>
    <row r="56" customFormat="false" ht="15" hidden="false" customHeight="false" outlineLevel="0" collapsed="false">
      <c r="A56" s="10" t="s">
        <v>3382</v>
      </c>
      <c r="B56" s="10" t="s">
        <v>3383</v>
      </c>
      <c r="C56" s="10" t="s">
        <v>3384</v>
      </c>
      <c r="D56" s="10" t="s">
        <v>3385</v>
      </c>
      <c r="E56" s="10" t="s">
        <v>3386</v>
      </c>
    </row>
    <row r="57" customFormat="false" ht="15" hidden="false" customHeight="false" outlineLevel="0" collapsed="false">
      <c r="A57" s="10" t="s">
        <v>3387</v>
      </c>
      <c r="B57" s="10" t="s">
        <v>3388</v>
      </c>
      <c r="C57" s="10" t="s">
        <v>3389</v>
      </c>
      <c r="D57" s="10" t="s">
        <v>3390</v>
      </c>
      <c r="E57" s="10" t="s">
        <v>282</v>
      </c>
    </row>
    <row r="58" customFormat="false" ht="15" hidden="false" customHeight="false" outlineLevel="0" collapsed="false">
      <c r="A58" s="10" t="s">
        <v>3391</v>
      </c>
      <c r="B58" s="10" t="s">
        <v>3392</v>
      </c>
      <c r="C58" s="10" t="s">
        <v>3393</v>
      </c>
      <c r="D58" s="10" t="s">
        <v>3394</v>
      </c>
      <c r="E58" s="10" t="s">
        <v>3395</v>
      </c>
    </row>
    <row r="59" customFormat="false" ht="15" hidden="false" customHeight="false" outlineLevel="0" collapsed="false">
      <c r="A59" s="10" t="s">
        <v>3396</v>
      </c>
      <c r="B59" s="10" t="s">
        <v>3397</v>
      </c>
      <c r="C59" s="10" t="s">
        <v>3398</v>
      </c>
      <c r="D59" s="10" t="s">
        <v>3399</v>
      </c>
      <c r="E59" s="10" t="s">
        <v>3400</v>
      </c>
    </row>
    <row r="60" customFormat="false" ht="15" hidden="false" customHeight="false" outlineLevel="0" collapsed="false">
      <c r="A60" s="10" t="s">
        <v>3401</v>
      </c>
      <c r="B60" s="10" t="s">
        <v>3402</v>
      </c>
      <c r="C60" s="10" t="s">
        <v>3403</v>
      </c>
      <c r="D60" s="10" t="s">
        <v>3404</v>
      </c>
      <c r="E60" s="10"/>
    </row>
    <row r="61" customFormat="false" ht="15" hidden="false" customHeight="false" outlineLevel="0" collapsed="false">
      <c r="A61" s="10" t="s">
        <v>3405</v>
      </c>
      <c r="B61" s="10" t="s">
        <v>3406</v>
      </c>
      <c r="C61" s="10" t="s">
        <v>3407</v>
      </c>
      <c r="D61" s="10" t="s">
        <v>3408</v>
      </c>
      <c r="E61" s="10"/>
    </row>
    <row r="62" customFormat="false" ht="15" hidden="false" customHeight="false" outlineLevel="0" collapsed="false">
      <c r="A62" s="10" t="s">
        <v>3409</v>
      </c>
      <c r="B62" s="10" t="s">
        <v>3410</v>
      </c>
      <c r="C62" s="10" t="s">
        <v>3411</v>
      </c>
      <c r="D62" s="10" t="s">
        <v>3412</v>
      </c>
      <c r="E62" s="10"/>
    </row>
    <row r="63" customFormat="false" ht="15" hidden="false" customHeight="false" outlineLevel="0" collapsed="false">
      <c r="A63" s="10" t="s">
        <v>3413</v>
      </c>
      <c r="B63" s="10" t="s">
        <v>3414</v>
      </c>
      <c r="C63" s="10" t="s">
        <v>3415</v>
      </c>
      <c r="D63" s="10" t="s">
        <v>3416</v>
      </c>
      <c r="E63" s="10"/>
    </row>
    <row r="64" customFormat="false" ht="15" hidden="false" customHeight="false" outlineLevel="0" collapsed="false">
      <c r="A64" s="10" t="s">
        <v>3417</v>
      </c>
      <c r="B64" s="10" t="s">
        <v>3418</v>
      </c>
      <c r="C64" s="10" t="s">
        <v>3419</v>
      </c>
      <c r="D64" s="10"/>
      <c r="E64" s="10" t="s">
        <v>226</v>
      </c>
    </row>
    <row r="65" customFormat="false" ht="15" hidden="false" customHeight="false" outlineLevel="0" collapsed="false">
      <c r="A65" s="10" t="s">
        <v>3420</v>
      </c>
      <c r="B65" s="10" t="s">
        <v>3421</v>
      </c>
      <c r="C65" s="10" t="s">
        <v>3422</v>
      </c>
      <c r="D65" s="10" t="s">
        <v>3423</v>
      </c>
      <c r="E65" s="10" t="s">
        <v>359</v>
      </c>
    </row>
    <row r="66" customFormat="false" ht="15" hidden="false" customHeight="false" outlineLevel="0" collapsed="false">
      <c r="A66" s="10" t="s">
        <v>3424</v>
      </c>
      <c r="B66" s="10" t="s">
        <v>3425</v>
      </c>
      <c r="C66" s="10" t="s">
        <v>3426</v>
      </c>
      <c r="D66" s="10" t="s">
        <v>3427</v>
      </c>
      <c r="E66" s="10"/>
    </row>
    <row r="67" customFormat="false" ht="15" hidden="false" customHeight="false" outlineLevel="0" collapsed="false">
      <c r="A67" s="10" t="s">
        <v>3428</v>
      </c>
      <c r="B67" s="10" t="s">
        <v>3429</v>
      </c>
      <c r="C67" s="10" t="s">
        <v>3430</v>
      </c>
      <c r="D67" s="10" t="s">
        <v>3431</v>
      </c>
      <c r="E67" s="10" t="s">
        <v>226</v>
      </c>
    </row>
    <row r="68" customFormat="false" ht="15" hidden="false" customHeight="false" outlineLevel="0" collapsed="false">
      <c r="A68" s="10" t="s">
        <v>3432</v>
      </c>
      <c r="B68" s="10" t="s">
        <v>3433</v>
      </c>
      <c r="C68" s="10" t="s">
        <v>3434</v>
      </c>
      <c r="D68" s="10" t="s">
        <v>3435</v>
      </c>
      <c r="E68" s="10"/>
    </row>
    <row r="69" customFormat="false" ht="15" hidden="false" customHeight="false" outlineLevel="0" collapsed="false">
      <c r="A69" s="10" t="s">
        <v>3436</v>
      </c>
      <c r="B69" s="10" t="s">
        <v>3437</v>
      </c>
      <c r="C69" s="10" t="s">
        <v>3438</v>
      </c>
      <c r="D69" s="10" t="s">
        <v>3439</v>
      </c>
      <c r="E69" s="10"/>
    </row>
    <row r="70" customFormat="false" ht="15" hidden="false" customHeight="false" outlineLevel="0" collapsed="false">
      <c r="A70" s="10" t="s">
        <v>3440</v>
      </c>
      <c r="B70" s="10" t="s">
        <v>3441</v>
      </c>
      <c r="C70" s="10" t="s">
        <v>3442</v>
      </c>
      <c r="D70" s="10" t="s">
        <v>3443</v>
      </c>
      <c r="E70" s="10" t="s">
        <v>354</v>
      </c>
    </row>
    <row r="71" customFormat="false" ht="15" hidden="false" customHeight="false" outlineLevel="0" collapsed="false">
      <c r="A71" s="10" t="s">
        <v>3444</v>
      </c>
      <c r="B71" s="10" t="s">
        <v>3445</v>
      </c>
      <c r="C71" s="10" t="s">
        <v>3446</v>
      </c>
      <c r="D71" s="10" t="s">
        <v>3447</v>
      </c>
      <c r="E71" s="10"/>
    </row>
    <row r="72" customFormat="false" ht="15" hidden="false" customHeight="false" outlineLevel="0" collapsed="false">
      <c r="A72" s="10" t="s">
        <v>3448</v>
      </c>
      <c r="B72" s="10" t="s">
        <v>3449</v>
      </c>
      <c r="C72" s="10" t="s">
        <v>3450</v>
      </c>
      <c r="D72" s="10"/>
      <c r="E72" s="10" t="s">
        <v>173</v>
      </c>
    </row>
    <row r="73" customFormat="false" ht="15" hidden="false" customHeight="false" outlineLevel="0" collapsed="false">
      <c r="A73" s="10" t="s">
        <v>3451</v>
      </c>
      <c r="B73" s="10" t="s">
        <v>3452</v>
      </c>
      <c r="C73" s="10" t="s">
        <v>3453</v>
      </c>
      <c r="D73" s="10" t="s">
        <v>3454</v>
      </c>
      <c r="E73" s="10" t="s">
        <v>359</v>
      </c>
    </row>
    <row r="74" customFormat="false" ht="15" hidden="false" customHeight="false" outlineLevel="0" collapsed="false">
      <c r="A74" s="10" t="s">
        <v>3455</v>
      </c>
      <c r="B74" s="10" t="s">
        <v>3456</v>
      </c>
      <c r="C74" s="10" t="s">
        <v>3457</v>
      </c>
      <c r="D74" s="10" t="s">
        <v>3458</v>
      </c>
      <c r="E74" s="10"/>
    </row>
    <row r="75" customFormat="false" ht="15" hidden="false" customHeight="false" outlineLevel="0" collapsed="false">
      <c r="A75" s="10" t="s">
        <v>3459</v>
      </c>
      <c r="B75" s="10" t="s">
        <v>3460</v>
      </c>
      <c r="C75" s="10" t="s">
        <v>3461</v>
      </c>
      <c r="D75" s="10" t="s">
        <v>3462</v>
      </c>
      <c r="E75" s="10"/>
    </row>
    <row r="76" customFormat="false" ht="15" hidden="false" customHeight="false" outlineLevel="0" collapsed="false">
      <c r="A76" s="10" t="s">
        <v>3463</v>
      </c>
      <c r="B76" s="10" t="s">
        <v>3464</v>
      </c>
      <c r="C76" s="10" t="s">
        <v>3465</v>
      </c>
      <c r="D76" s="10" t="s">
        <v>3466</v>
      </c>
      <c r="E76" s="10" t="s">
        <v>299</v>
      </c>
    </row>
    <row r="77" customFormat="false" ht="15" hidden="false" customHeight="false" outlineLevel="0" collapsed="false">
      <c r="A77" s="10" t="s">
        <v>297</v>
      </c>
      <c r="B77" s="10" t="s">
        <v>3467</v>
      </c>
      <c r="C77" s="10" t="s">
        <v>3468</v>
      </c>
      <c r="D77" s="10" t="s">
        <v>298</v>
      </c>
      <c r="E77" s="10" t="s">
        <v>295</v>
      </c>
    </row>
    <row r="78" customFormat="false" ht="15" hidden="false" customHeight="false" outlineLevel="0" collapsed="false">
      <c r="A78" s="10" t="s">
        <v>3469</v>
      </c>
      <c r="B78" s="10" t="s">
        <v>3470</v>
      </c>
      <c r="C78" s="10" t="s">
        <v>3471</v>
      </c>
      <c r="D78" s="10" t="s">
        <v>3472</v>
      </c>
      <c r="E78" s="10"/>
    </row>
    <row r="79" customFormat="false" ht="15" hidden="false" customHeight="false" outlineLevel="0" collapsed="false">
      <c r="A79" s="10" t="s">
        <v>3473</v>
      </c>
      <c r="B79" s="10" t="s">
        <v>3474</v>
      </c>
      <c r="C79" s="10" t="s">
        <v>3475</v>
      </c>
      <c r="D79" s="10" t="s">
        <v>3476</v>
      </c>
      <c r="E79" s="10"/>
    </row>
    <row r="80" customFormat="false" ht="15" hidden="false" customHeight="false" outlineLevel="0" collapsed="false">
      <c r="A80" s="10" t="s">
        <v>3477</v>
      </c>
      <c r="B80" s="10" t="s">
        <v>3478</v>
      </c>
      <c r="C80" s="10" t="s">
        <v>3479</v>
      </c>
      <c r="D80" s="10" t="s">
        <v>3480</v>
      </c>
      <c r="E80" s="10" t="s">
        <v>354</v>
      </c>
    </row>
    <row r="81" customFormat="false" ht="15" hidden="false" customHeight="false" outlineLevel="0" collapsed="false">
      <c r="A81" s="10" t="s">
        <v>3481</v>
      </c>
      <c r="B81" s="10" t="s">
        <v>3482</v>
      </c>
      <c r="C81" s="10" t="s">
        <v>3483</v>
      </c>
      <c r="D81" s="10" t="s">
        <v>3484</v>
      </c>
      <c r="E81" s="10" t="s">
        <v>3485</v>
      </c>
    </row>
    <row r="82" customFormat="false" ht="15" hidden="false" customHeight="false" outlineLevel="0" collapsed="false">
      <c r="A82" s="10" t="s">
        <v>3486</v>
      </c>
      <c r="B82" s="10" t="s">
        <v>3487</v>
      </c>
      <c r="C82" s="10" t="s">
        <v>3487</v>
      </c>
      <c r="D82" s="10" t="s">
        <v>3488</v>
      </c>
      <c r="E82" s="10" t="s">
        <v>3489</v>
      </c>
    </row>
    <row r="83" customFormat="false" ht="15" hidden="false" customHeight="false" outlineLevel="0" collapsed="false">
      <c r="A83" s="10" t="s">
        <v>3490</v>
      </c>
      <c r="B83" s="10" t="s">
        <v>3491</v>
      </c>
      <c r="C83" s="10" t="s">
        <v>3492</v>
      </c>
      <c r="D83" s="10" t="s">
        <v>3493</v>
      </c>
      <c r="E83" s="10" t="s">
        <v>299</v>
      </c>
    </row>
    <row r="84" customFormat="false" ht="15" hidden="false" customHeight="false" outlineLevel="0" collapsed="false">
      <c r="A84" s="10" t="s">
        <v>3494</v>
      </c>
      <c r="B84" s="10" t="s">
        <v>3495</v>
      </c>
      <c r="C84" s="10" t="s">
        <v>3496</v>
      </c>
      <c r="D84" s="10" t="s">
        <v>3497</v>
      </c>
      <c r="E84" s="10" t="s">
        <v>167</v>
      </c>
    </row>
    <row r="85" customFormat="false" ht="15" hidden="false" customHeight="false" outlineLevel="0" collapsed="false">
      <c r="A85" s="10" t="s">
        <v>3498</v>
      </c>
      <c r="B85" s="10" t="s">
        <v>3499</v>
      </c>
      <c r="C85" s="10" t="s">
        <v>3500</v>
      </c>
      <c r="D85" s="10" t="s">
        <v>3501</v>
      </c>
      <c r="E85" s="10" t="s">
        <v>3400</v>
      </c>
    </row>
    <row r="86" customFormat="false" ht="15" hidden="false" customHeight="false" outlineLevel="0" collapsed="false">
      <c r="A86" s="10" t="s">
        <v>3502</v>
      </c>
      <c r="B86" s="10" t="s">
        <v>3503</v>
      </c>
      <c r="C86" s="10" t="s">
        <v>3504</v>
      </c>
      <c r="D86" s="10" t="s">
        <v>3505</v>
      </c>
      <c r="E86" s="10" t="s">
        <v>3506</v>
      </c>
    </row>
    <row r="87" customFormat="false" ht="15" hidden="false" customHeight="false" outlineLevel="0" collapsed="false">
      <c r="A87" s="10" t="s">
        <v>3507</v>
      </c>
      <c r="B87" s="10" t="s">
        <v>3508</v>
      </c>
      <c r="C87" s="10" t="s">
        <v>3509</v>
      </c>
      <c r="D87" s="10" t="s">
        <v>3510</v>
      </c>
      <c r="E87" s="10"/>
    </row>
    <row r="88" customFormat="false" ht="15" hidden="false" customHeight="false" outlineLevel="0" collapsed="false">
      <c r="A88" s="10" t="s">
        <v>3511</v>
      </c>
      <c r="B88" s="10" t="s">
        <v>3512</v>
      </c>
      <c r="C88" s="10" t="s">
        <v>3513</v>
      </c>
      <c r="D88" s="10" t="s">
        <v>3514</v>
      </c>
      <c r="E88" s="10" t="s">
        <v>265</v>
      </c>
    </row>
    <row r="89" customFormat="false" ht="15" hidden="false" customHeight="false" outlineLevel="0" collapsed="false">
      <c r="A89" s="10" t="s">
        <v>3515</v>
      </c>
      <c r="B89" s="10" t="s">
        <v>3516</v>
      </c>
      <c r="C89" s="10" t="s">
        <v>3517</v>
      </c>
      <c r="D89" s="10" t="s">
        <v>3518</v>
      </c>
      <c r="E89" s="10"/>
    </row>
    <row r="90" customFormat="false" ht="15" hidden="false" customHeight="false" outlineLevel="0" collapsed="false">
      <c r="A90" s="10" t="s">
        <v>3519</v>
      </c>
      <c r="B90" s="10" t="s">
        <v>3520</v>
      </c>
      <c r="C90" s="10" t="s">
        <v>3521</v>
      </c>
      <c r="D90" s="10" t="s">
        <v>3522</v>
      </c>
      <c r="E90" s="10"/>
    </row>
    <row r="91" customFormat="false" ht="15" hidden="false" customHeight="false" outlineLevel="0" collapsed="false">
      <c r="A91" s="10" t="s">
        <v>3523</v>
      </c>
      <c r="B91" s="10" t="s">
        <v>3524</v>
      </c>
      <c r="C91" s="10" t="s">
        <v>3525</v>
      </c>
      <c r="D91" s="10" t="s">
        <v>3526</v>
      </c>
      <c r="E91" s="10"/>
    </row>
    <row r="92" customFormat="false" ht="15" hidden="false" customHeight="false" outlineLevel="0" collapsed="false">
      <c r="A92" s="10" t="s">
        <v>322</v>
      </c>
      <c r="B92" s="10" t="s">
        <v>3527</v>
      </c>
      <c r="C92" s="10" t="s">
        <v>3528</v>
      </c>
      <c r="D92" s="10" t="s">
        <v>323</v>
      </c>
      <c r="E92" s="10" t="s">
        <v>3529</v>
      </c>
    </row>
    <row r="93" customFormat="false" ht="15" hidden="false" customHeight="false" outlineLevel="0" collapsed="false">
      <c r="A93" s="10" t="s">
        <v>3530</v>
      </c>
      <c r="B93" s="10" t="s">
        <v>3531</v>
      </c>
      <c r="C93" s="10" t="s">
        <v>3532</v>
      </c>
      <c r="D93" s="10" t="s">
        <v>3533</v>
      </c>
      <c r="E93" s="10"/>
    </row>
    <row r="94" customFormat="false" ht="15" hidden="false" customHeight="false" outlineLevel="0" collapsed="false">
      <c r="A94" s="10" t="s">
        <v>3534</v>
      </c>
      <c r="B94" s="10" t="s">
        <v>3535</v>
      </c>
      <c r="C94" s="10" t="s">
        <v>3536</v>
      </c>
      <c r="D94" s="10" t="s">
        <v>3537</v>
      </c>
      <c r="E94" s="10" t="s">
        <v>3309</v>
      </c>
    </row>
    <row r="95" customFormat="false" ht="15" hidden="false" customHeight="false" outlineLevel="0" collapsed="false">
      <c r="A95" s="10" t="s">
        <v>3538</v>
      </c>
      <c r="B95" s="10" t="s">
        <v>3539</v>
      </c>
      <c r="C95" s="10" t="s">
        <v>3540</v>
      </c>
      <c r="D95" s="10" t="s">
        <v>3541</v>
      </c>
      <c r="E95" s="10"/>
    </row>
    <row r="96" customFormat="false" ht="15" hidden="false" customHeight="false" outlineLevel="0" collapsed="false">
      <c r="A96" s="10" t="s">
        <v>279</v>
      </c>
      <c r="B96" s="10" t="s">
        <v>3542</v>
      </c>
      <c r="C96" s="10" t="s">
        <v>3543</v>
      </c>
      <c r="D96" s="10" t="s">
        <v>280</v>
      </c>
      <c r="E96" s="10" t="s">
        <v>3544</v>
      </c>
    </row>
    <row r="97" customFormat="false" ht="15" hidden="false" customHeight="false" outlineLevel="0" collapsed="false">
      <c r="A97" s="10" t="s">
        <v>3545</v>
      </c>
      <c r="B97" s="10" t="s">
        <v>3546</v>
      </c>
      <c r="C97" s="10" t="s">
        <v>3547</v>
      </c>
      <c r="D97" s="10" t="s">
        <v>3548</v>
      </c>
      <c r="E97" s="10"/>
    </row>
    <row r="98" customFormat="false" ht="15" hidden="false" customHeight="false" outlineLevel="0" collapsed="false">
      <c r="A98" s="10" t="s">
        <v>3549</v>
      </c>
      <c r="B98" s="10" t="s">
        <v>3550</v>
      </c>
      <c r="C98" s="10" t="s">
        <v>3551</v>
      </c>
      <c r="D98" s="10" t="s">
        <v>3552</v>
      </c>
      <c r="E98" s="10"/>
    </row>
    <row r="99" customFormat="false" ht="15" hidden="false" customHeight="false" outlineLevel="0" collapsed="false">
      <c r="A99" s="10" t="s">
        <v>343</v>
      </c>
      <c r="B99" s="10" t="s">
        <v>3553</v>
      </c>
      <c r="C99" s="10" t="s">
        <v>3554</v>
      </c>
      <c r="D99" s="10" t="s">
        <v>344</v>
      </c>
      <c r="E99" s="10" t="s">
        <v>3555</v>
      </c>
    </row>
    <row r="100" customFormat="false" ht="15" hidden="false" customHeight="false" outlineLevel="0" collapsed="false">
      <c r="A100" s="10" t="s">
        <v>3556</v>
      </c>
      <c r="B100" s="10" t="s">
        <v>3557</v>
      </c>
      <c r="C100" s="10" t="s">
        <v>3558</v>
      </c>
      <c r="D100" s="10" t="s">
        <v>3559</v>
      </c>
      <c r="E100" s="10"/>
    </row>
    <row r="101" customFormat="false" ht="15" hidden="false" customHeight="false" outlineLevel="0" collapsed="false">
      <c r="A101" s="10" t="s">
        <v>3560</v>
      </c>
      <c r="B101" s="10" t="s">
        <v>3561</v>
      </c>
      <c r="C101" s="10" t="s">
        <v>3562</v>
      </c>
      <c r="D101" s="10" t="s">
        <v>3563</v>
      </c>
      <c r="E101" s="10" t="s">
        <v>350</v>
      </c>
    </row>
    <row r="102" customFormat="false" ht="15" hidden="false" customHeight="false" outlineLevel="0" collapsed="false">
      <c r="A102" s="10" t="s">
        <v>3564</v>
      </c>
      <c r="B102" s="10" t="s">
        <v>3565</v>
      </c>
      <c r="C102" s="10" t="s">
        <v>3566</v>
      </c>
      <c r="D102" s="10" t="s">
        <v>3567</v>
      </c>
      <c r="E102" s="10"/>
    </row>
    <row r="103" customFormat="false" ht="15" hidden="false" customHeight="false" outlineLevel="0" collapsed="false">
      <c r="A103" s="10" t="s">
        <v>193</v>
      </c>
      <c r="B103" s="10" t="s">
        <v>3568</v>
      </c>
      <c r="C103" s="10" t="s">
        <v>3568</v>
      </c>
      <c r="D103" s="10" t="s">
        <v>194</v>
      </c>
      <c r="E103" s="10" t="s">
        <v>3569</v>
      </c>
    </row>
    <row r="104" customFormat="false" ht="15" hidden="false" customHeight="false" outlineLevel="0" collapsed="false">
      <c r="A104" s="10" t="s">
        <v>3570</v>
      </c>
      <c r="B104" s="10" t="s">
        <v>3571</v>
      </c>
      <c r="C104" s="10" t="s">
        <v>3571</v>
      </c>
      <c r="D104" s="10" t="s">
        <v>3572</v>
      </c>
      <c r="E104" s="10"/>
    </row>
    <row r="105" customFormat="false" ht="15" hidden="false" customHeight="false" outlineLevel="0" collapsed="false">
      <c r="A105" s="10" t="s">
        <v>3573</v>
      </c>
      <c r="B105" s="10" t="s">
        <v>3574</v>
      </c>
      <c r="C105" s="10" t="s">
        <v>3575</v>
      </c>
      <c r="D105" s="10" t="s">
        <v>3576</v>
      </c>
      <c r="E105" s="10" t="s">
        <v>370</v>
      </c>
    </row>
    <row r="106" customFormat="false" ht="15" hidden="false" customHeight="false" outlineLevel="0" collapsed="false">
      <c r="A106" s="10" t="s">
        <v>306</v>
      </c>
      <c r="B106" s="10" t="s">
        <v>3577</v>
      </c>
      <c r="C106" s="10" t="s">
        <v>3578</v>
      </c>
      <c r="D106" s="10" t="s">
        <v>307</v>
      </c>
      <c r="E106" s="10" t="s">
        <v>304</v>
      </c>
    </row>
    <row r="107" customFormat="false" ht="15" hidden="false" customHeight="false" outlineLevel="0" collapsed="false">
      <c r="A107" s="10" t="s">
        <v>3579</v>
      </c>
      <c r="B107" s="10" t="s">
        <v>3580</v>
      </c>
      <c r="C107" s="10" t="s">
        <v>3581</v>
      </c>
      <c r="D107" s="10" t="s">
        <v>3582</v>
      </c>
      <c r="E107" s="10" t="s">
        <v>3583</v>
      </c>
    </row>
    <row r="108" customFormat="false" ht="15" hidden="false" customHeight="false" outlineLevel="0" collapsed="false">
      <c r="A108" s="10" t="s">
        <v>3584</v>
      </c>
      <c r="B108" s="10" t="s">
        <v>3585</v>
      </c>
      <c r="C108" s="10" t="s">
        <v>3586</v>
      </c>
      <c r="D108" s="10" t="s">
        <v>3587</v>
      </c>
      <c r="E108" s="10"/>
    </row>
    <row r="109" customFormat="false" ht="15" hidden="false" customHeight="false" outlineLevel="0" collapsed="false">
      <c r="A109" s="10" t="s">
        <v>3588</v>
      </c>
      <c r="B109" s="10" t="s">
        <v>3589</v>
      </c>
      <c r="C109" s="10" t="s">
        <v>3590</v>
      </c>
      <c r="D109" s="10" t="s">
        <v>3591</v>
      </c>
      <c r="E109" s="10" t="s">
        <v>308</v>
      </c>
    </row>
    <row r="110" customFormat="false" ht="15" hidden="false" customHeight="false" outlineLevel="0" collapsed="false">
      <c r="A110" s="10" t="s">
        <v>3592</v>
      </c>
      <c r="B110" s="10" t="s">
        <v>3593</v>
      </c>
      <c r="C110" s="10" t="s">
        <v>3594</v>
      </c>
      <c r="D110" s="10" t="s">
        <v>3595</v>
      </c>
      <c r="E110" s="10"/>
    </row>
    <row r="111" customFormat="false" ht="15" hidden="false" customHeight="false" outlineLevel="0" collapsed="false">
      <c r="A111" s="10" t="s">
        <v>3596</v>
      </c>
      <c r="B111" s="10" t="s">
        <v>3597</v>
      </c>
      <c r="C111" s="10" t="s">
        <v>3598</v>
      </c>
      <c r="D111" s="10" t="s">
        <v>3599</v>
      </c>
      <c r="E111" s="10"/>
    </row>
    <row r="112" customFormat="false" ht="15" hidden="false" customHeight="false" outlineLevel="0" collapsed="false">
      <c r="A112" s="10" t="s">
        <v>3600</v>
      </c>
      <c r="B112" s="10" t="s">
        <v>3601</v>
      </c>
      <c r="C112" s="10" t="s">
        <v>3602</v>
      </c>
      <c r="D112" s="10" t="s">
        <v>3484</v>
      </c>
      <c r="E112" s="1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8" t="s">
        <v>3603</v>
      </c>
      <c r="B1" s="18" t="s">
        <v>3604</v>
      </c>
      <c r="C1" s="18" t="s">
        <v>2250</v>
      </c>
    </row>
    <row r="2" customFormat="false" ht="15" hidden="false" customHeight="false" outlineLevel="0" collapsed="false">
      <c r="A2" s="10" t="s">
        <v>3605</v>
      </c>
      <c r="B2" s="10" t="n">
        <v>633</v>
      </c>
      <c r="C2" s="10" t="s">
        <v>3606</v>
      </c>
    </row>
    <row r="3" customFormat="false" ht="15" hidden="false" customHeight="false" outlineLevel="0" collapsed="false">
      <c r="A3" s="10" t="s">
        <v>3607</v>
      </c>
      <c r="B3" s="10" t="n">
        <v>624</v>
      </c>
      <c r="C3" s="10" t="s">
        <v>3608</v>
      </c>
    </row>
    <row r="4" customFormat="false" ht="15" hidden="false" customHeight="false" outlineLevel="0" collapsed="false">
      <c r="A4" s="10" t="s">
        <v>3609</v>
      </c>
      <c r="B4" s="10" t="n">
        <v>9</v>
      </c>
      <c r="C4" s="10" t="s">
        <v>3610</v>
      </c>
    </row>
    <row r="5" customFormat="false" ht="15" hidden="false" customHeight="false" outlineLevel="0" collapsed="false">
      <c r="A5" s="10" t="s">
        <v>385</v>
      </c>
      <c r="B5" s="10" t="n">
        <v>54</v>
      </c>
      <c r="C5" s="10" t="s">
        <v>3611</v>
      </c>
    </row>
    <row r="6" customFormat="false" ht="15" hidden="false" customHeight="false" outlineLevel="0" collapsed="false">
      <c r="A6" s="10" t="s">
        <v>3612</v>
      </c>
      <c r="B6" s="10" t="n">
        <v>20</v>
      </c>
      <c r="C6" s="10" t="s">
        <v>3613</v>
      </c>
    </row>
    <row r="7" customFormat="false" ht="15" hidden="false" customHeight="false" outlineLevel="0" collapsed="false">
      <c r="A7" s="10" t="s">
        <v>68</v>
      </c>
      <c r="B7" s="10" t="n">
        <v>111</v>
      </c>
      <c r="C7" s="10" t="s">
        <v>3614</v>
      </c>
    </row>
    <row r="8" customFormat="false" ht="15" hidden="false" customHeight="false" outlineLevel="0" collapsed="false">
      <c r="A8" s="10" t="s">
        <v>69</v>
      </c>
      <c r="B8" s="10" t="n">
        <v>105</v>
      </c>
      <c r="C8" s="10" t="s">
        <v>3615</v>
      </c>
    </row>
    <row r="9" customFormat="false" ht="15" hidden="false" customHeight="false" outlineLevel="0" collapsed="false">
      <c r="A9" s="10" t="s">
        <v>3616</v>
      </c>
      <c r="B9" s="10" t="n">
        <v>509</v>
      </c>
      <c r="C9" s="10" t="s">
        <v>3617</v>
      </c>
    </row>
    <row r="10" customFormat="false" ht="15" hidden="false" customHeight="false" outlineLevel="0" collapsed="false">
      <c r="A10" s="10" t="s">
        <v>3618</v>
      </c>
      <c r="B10" s="10" t="n">
        <v>64</v>
      </c>
      <c r="C10" s="10" t="s">
        <v>3619</v>
      </c>
    </row>
    <row r="11" customFormat="false" ht="15" hidden="false" customHeight="false" outlineLevel="0" collapsed="false">
      <c r="A11" s="10" t="s">
        <v>3620</v>
      </c>
      <c r="B11" s="10" t="n">
        <v>54</v>
      </c>
      <c r="C11" s="10" t="s">
        <v>3621</v>
      </c>
    </row>
    <row r="12" customFormat="false" ht="15" hidden="false" customHeight="false" outlineLevel="0" collapsed="false">
      <c r="A12" s="10" t="s">
        <v>3622</v>
      </c>
      <c r="B12" s="10" t="n">
        <v>10</v>
      </c>
      <c r="C12" s="10" t="s">
        <v>3623</v>
      </c>
    </row>
    <row r="13" customFormat="false" ht="15" hidden="false" customHeight="false" outlineLevel="0" collapsed="false">
      <c r="A13" s="10" t="s">
        <v>3624</v>
      </c>
      <c r="B13" s="10" t="n">
        <v>33</v>
      </c>
      <c r="C13" s="10" t="s">
        <v>3625</v>
      </c>
    </row>
    <row r="14" customFormat="false" ht="15" hidden="false" customHeight="false" outlineLevel="0" collapsed="false">
      <c r="A14" s="10" t="s">
        <v>3626</v>
      </c>
      <c r="B14" s="10" t="n">
        <v>1080</v>
      </c>
      <c r="C14" s="10" t="s">
        <v>3627</v>
      </c>
    </row>
    <row r="15" customFormat="false" ht="15" hidden="false" customHeight="false" outlineLevel="0" collapsed="false">
      <c r="A15" s="10" t="s">
        <v>3628</v>
      </c>
      <c r="B15" s="10" t="n">
        <v>1079</v>
      </c>
      <c r="C15" s="10" t="s">
        <v>3629</v>
      </c>
    </row>
    <row r="16" customFormat="false" ht="15" hidden="false" customHeight="false" outlineLevel="0" collapsed="false">
      <c r="A16" s="10" t="s">
        <v>3630</v>
      </c>
      <c r="B16" s="10" t="n">
        <v>61</v>
      </c>
      <c r="C16" s="10" t="s">
        <v>3631</v>
      </c>
    </row>
    <row r="17" customFormat="false" ht="15" hidden="false" customHeight="false" outlineLevel="0" collapsed="false">
      <c r="A17" s="10" t="s">
        <v>3632</v>
      </c>
      <c r="B17" s="10" t="n">
        <v>633</v>
      </c>
      <c r="C17" s="10" t="s">
        <v>3633</v>
      </c>
    </row>
    <row r="18" customFormat="false" ht="15" hidden="false" customHeight="false" outlineLevel="0" collapsed="false">
      <c r="A18" s="10" t="s">
        <v>3634</v>
      </c>
      <c r="B18" s="10" t="n">
        <v>95.8</v>
      </c>
      <c r="C18" s="10" t="s">
        <v>3635</v>
      </c>
    </row>
    <row r="19" customFormat="false" ht="15" hidden="false" customHeight="false" outlineLevel="0" collapsed="false">
      <c r="A19" s="10" t="s">
        <v>3636</v>
      </c>
      <c r="B19" s="10" t="n">
        <v>513</v>
      </c>
      <c r="C19" s="10" t="s">
        <v>3637</v>
      </c>
    </row>
    <row r="20" customFormat="false" ht="15" hidden="false" customHeight="false" outlineLevel="0" collapsed="false">
      <c r="A20" s="10" t="s">
        <v>3638</v>
      </c>
      <c r="B20" s="10" t="n">
        <v>115</v>
      </c>
      <c r="C20" s="10" t="s">
        <v>3639</v>
      </c>
    </row>
    <row r="21" customFormat="false" ht="15" hidden="false" customHeight="false" outlineLevel="0" collapsed="false">
      <c r="A21" s="10" t="s">
        <v>3640</v>
      </c>
      <c r="B21" s="10" t="n">
        <v>5</v>
      </c>
      <c r="C21" s="10" t="s">
        <v>3641</v>
      </c>
    </row>
    <row r="22" customFormat="false" ht="15" hidden="false" customHeight="false" outlineLevel="0" collapsed="false">
      <c r="A22" s="10" t="s">
        <v>3642</v>
      </c>
      <c r="B22" s="10" t="n">
        <v>16</v>
      </c>
      <c r="C22" s="10" t="s">
        <v>3643</v>
      </c>
    </row>
    <row r="23" customFormat="false" ht="15" hidden="false" customHeight="false" outlineLevel="0" collapsed="false">
      <c r="A23" s="10" t="s">
        <v>73</v>
      </c>
      <c r="B23" s="10" t="n">
        <v>50</v>
      </c>
      <c r="C23" s="10" t="s">
        <v>3644</v>
      </c>
    </row>
    <row r="24" customFormat="false" ht="15" hidden="false" customHeight="false" outlineLevel="0" collapsed="false">
      <c r="A24" s="10" t="s">
        <v>3645</v>
      </c>
      <c r="B24" s="10" t="n">
        <v>28</v>
      </c>
      <c r="C24" s="10" t="s">
        <v>3646</v>
      </c>
    </row>
    <row r="25" customFormat="false" ht="15" hidden="false" customHeight="false" outlineLevel="0" collapsed="false">
      <c r="A25" s="10" t="s">
        <v>3647</v>
      </c>
      <c r="B25" s="10" t="n">
        <v>15</v>
      </c>
      <c r="C25" s="10" t="s">
        <v>3648</v>
      </c>
    </row>
    <row r="26" customFormat="false" ht="15" hidden="false" customHeight="false" outlineLevel="0" collapsed="false">
      <c r="A26" s="10" t="s">
        <v>3649</v>
      </c>
      <c r="B26" s="10" t="n">
        <v>7</v>
      </c>
      <c r="C26" s="10" t="s">
        <v>3650</v>
      </c>
    </row>
    <row r="27" customFormat="false" ht="15" hidden="false" customHeight="false" outlineLevel="0" collapsed="false">
      <c r="A27" s="10" t="s">
        <v>3651</v>
      </c>
      <c r="B27" s="10" t="n">
        <v>106</v>
      </c>
      <c r="C27" s="10" t="s">
        <v>3652</v>
      </c>
    </row>
    <row r="28" customFormat="false" ht="15" hidden="false" customHeight="false" outlineLevel="0" collapsed="false">
      <c r="A28" s="10" t="s">
        <v>3653</v>
      </c>
      <c r="B28" s="10" t="n">
        <v>26</v>
      </c>
      <c r="C28" s="10" t="s">
        <v>3654</v>
      </c>
    </row>
    <row r="29" customFormat="false" ht="15" hidden="false" customHeight="false" outlineLevel="0" collapsed="false">
      <c r="A29" s="10" t="s">
        <v>3655</v>
      </c>
      <c r="B29" s="10" t="n">
        <v>8</v>
      </c>
      <c r="C29" s="10" t="s">
        <v>3656</v>
      </c>
    </row>
    <row r="30" customFormat="false" ht="15" hidden="false" customHeight="false" outlineLevel="0" collapsed="false">
      <c r="A30" s="10" t="s">
        <v>3657</v>
      </c>
      <c r="B30" s="10" t="n">
        <v>6</v>
      </c>
      <c r="C30" s="10" t="s">
        <v>3658</v>
      </c>
    </row>
    <row r="31" customFormat="false" ht="15" hidden="false" customHeight="false" outlineLevel="0" collapsed="false">
      <c r="A31" s="10" t="s">
        <v>3659</v>
      </c>
      <c r="B31" s="10" t="n">
        <v>14</v>
      </c>
      <c r="C31" s="10" t="s">
        <v>3660</v>
      </c>
    </row>
    <row r="32" customFormat="false" ht="15" hidden="false" customHeight="false" outlineLevel="0" collapsed="false">
      <c r="A32" s="10" t="s">
        <v>74</v>
      </c>
      <c r="B32" s="10" t="n">
        <v>32</v>
      </c>
      <c r="C32" s="10" t="s">
        <v>3661</v>
      </c>
    </row>
    <row r="33" customFormat="false" ht="15" hidden="false" customHeight="false" outlineLevel="0" collapsed="false">
      <c r="A33" s="10" t="s">
        <v>3662</v>
      </c>
      <c r="B33" s="10" t="n">
        <v>25</v>
      </c>
      <c r="C33" s="10" t="s">
        <v>3663</v>
      </c>
    </row>
    <row r="34" customFormat="false" ht="15" hidden="false" customHeight="false" outlineLevel="0" collapsed="false">
      <c r="A34" s="10" t="s">
        <v>3664</v>
      </c>
      <c r="B34" s="10" t="n">
        <v>17</v>
      </c>
      <c r="C34" s="10" t="s">
        <v>3665</v>
      </c>
    </row>
    <row r="35" customFormat="false" ht="15" hidden="false" customHeight="false" outlineLevel="0" collapsed="false">
      <c r="A35" s="10" t="s">
        <v>3666</v>
      </c>
      <c r="B35" s="10" t="n">
        <v>6</v>
      </c>
      <c r="C35" s="10" t="s">
        <v>3667</v>
      </c>
    </row>
    <row r="36" customFormat="false" ht="15" hidden="false" customHeight="false" outlineLevel="0" collapsed="false">
      <c r="A36" s="10" t="s">
        <v>3668</v>
      </c>
      <c r="B36" s="10" t="n">
        <v>34</v>
      </c>
      <c r="C36" s="10" t="s">
        <v>3669</v>
      </c>
    </row>
    <row r="37" customFormat="false" ht="15" hidden="false" customHeight="false" outlineLevel="0" collapsed="false">
      <c r="A37" s="10" t="s">
        <v>3670</v>
      </c>
      <c r="B37" s="10" t="n">
        <v>24</v>
      </c>
      <c r="C37" s="10" t="s">
        <v>3671</v>
      </c>
    </row>
    <row r="38" customFormat="false" ht="15" hidden="false" customHeight="false" outlineLevel="0" collapsed="false">
      <c r="A38" s="10" t="s">
        <v>3672</v>
      </c>
      <c r="B38" s="10" t="n">
        <v>4</v>
      </c>
      <c r="C38" s="10" t="s">
        <v>3673</v>
      </c>
    </row>
    <row r="39" customFormat="false" ht="15" hidden="false" customHeight="false" outlineLevel="0" collapsed="false">
      <c r="A39" s="10" t="s">
        <v>3674</v>
      </c>
      <c r="B39" s="10" t="n">
        <v>9</v>
      </c>
      <c r="C39" s="10" t="s">
        <v>3675</v>
      </c>
    </row>
    <row r="40" customFormat="false" ht="15" hidden="false" customHeight="false" outlineLevel="0" collapsed="false">
      <c r="A40" s="10" t="s">
        <v>3676</v>
      </c>
      <c r="B40" s="10" t="n">
        <v>12</v>
      </c>
      <c r="C40" s="10" t="s">
        <v>3677</v>
      </c>
    </row>
    <row r="41" customFormat="false" ht="15" hidden="false" customHeight="false" outlineLevel="0" collapsed="false">
      <c r="A41" s="10" t="s">
        <v>3678</v>
      </c>
      <c r="B41" s="10" t="n">
        <v>3</v>
      </c>
      <c r="C41" s="10" t="s">
        <v>3679</v>
      </c>
    </row>
    <row r="42" customFormat="false" ht="15" hidden="false" customHeight="false" outlineLevel="0" collapsed="false">
      <c r="A42" s="10" t="s">
        <v>3680</v>
      </c>
      <c r="B42" s="10" t="n">
        <v>5</v>
      </c>
      <c r="C42" s="10" t="s">
        <v>3681</v>
      </c>
    </row>
    <row r="43" customFormat="false" ht="15" hidden="false" customHeight="false" outlineLevel="0" collapsed="false">
      <c r="A43" s="10" t="s">
        <v>3682</v>
      </c>
      <c r="B43" s="10" t="n">
        <v>7</v>
      </c>
      <c r="C43" s="10" t="s">
        <v>3683</v>
      </c>
    </row>
    <row r="44" customFormat="false" ht="15" hidden="false" customHeight="false" outlineLevel="0" collapsed="false">
      <c r="A44" s="10" t="s">
        <v>3684</v>
      </c>
      <c r="B44" s="10" t="n">
        <v>131</v>
      </c>
      <c r="C44" s="10" t="s">
        <v>3685</v>
      </c>
    </row>
    <row r="45" customFormat="false" ht="15" hidden="false" customHeight="false" outlineLevel="0" collapsed="false">
      <c r="A45" s="10" t="s">
        <v>3686</v>
      </c>
      <c r="B45" s="10" t="n">
        <v>90</v>
      </c>
      <c r="C45" s="10" t="s">
        <v>3687</v>
      </c>
    </row>
    <row r="46" customFormat="false" ht="15" hidden="false" customHeight="false" outlineLevel="0" collapsed="false">
      <c r="A46" s="10" t="s">
        <v>3688</v>
      </c>
      <c r="B46" s="10" t="n">
        <v>37</v>
      </c>
      <c r="C46" s="10" t="s">
        <v>3689</v>
      </c>
    </row>
    <row r="47" customFormat="false" ht="15" hidden="false" customHeight="false" outlineLevel="0" collapsed="false">
      <c r="A47" s="10" t="s">
        <v>3690</v>
      </c>
      <c r="B47" s="10" t="n">
        <v>32</v>
      </c>
      <c r="C47" s="10" t="s">
        <v>3691</v>
      </c>
    </row>
    <row r="48" customFormat="false" ht="15" hidden="false" customHeight="false" outlineLevel="0" collapsed="false">
      <c r="A48" s="10" t="s">
        <v>3692</v>
      </c>
      <c r="B48" s="10" t="n">
        <v>21</v>
      </c>
      <c r="C48" s="10" t="s">
        <v>3693</v>
      </c>
    </row>
    <row r="49" customFormat="false" ht="15" hidden="false" customHeight="false" outlineLevel="0" collapsed="false">
      <c r="A49" s="10" t="s">
        <v>3694</v>
      </c>
      <c r="B49" s="10" t="n">
        <v>7037324</v>
      </c>
      <c r="C49" s="10" t="s">
        <v>3695</v>
      </c>
    </row>
    <row r="50" customFormat="false" ht="15" hidden="false" customHeight="false" outlineLevel="0" collapsed="false">
      <c r="A50" s="10" t="s">
        <v>3696</v>
      </c>
      <c r="B50" s="10" t="n">
        <v>66</v>
      </c>
      <c r="C50" s="10" t="s">
        <v>3697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2026-09-27T22:44:34Z</dcterms:created>
  <dc:creator>openpyxl</dc:creator>
  <dc:description/>
  <dc:language>en-US</dc:language>
  <cp:lastModifiedBy/>
  <dcterms:modified xsi:type="dcterms:W3CDTF">2026-09-27T22:44:35Z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